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BaiduSyncdisk\量化\业绩断层\25Q4预告\"/>
    </mc:Choice>
  </mc:AlternateContent>
  <xr:revisionPtr revIDLastSave="0" documentId="13_ncr:1_{7E622AA8-C8D5-4FD3-B28C-9C36C6DB3546}" xr6:coauthVersionLast="47" xr6:coauthVersionMax="47" xr10:uidLastSave="{00000000-0000-0000-0000-000000000000}"/>
  <bookViews>
    <workbookView xWindow="24015" yWindow="3870" windowWidth="25095" windowHeight="1659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6" i="1" l="1"/>
  <c r="E56" i="1"/>
  <c r="G56" i="1"/>
  <c r="B56" i="1"/>
  <c r="C56" i="1"/>
  <c r="F56" i="1"/>
  <c r="H165" i="1"/>
  <c r="H153" i="1"/>
  <c r="H141" i="1"/>
  <c r="H129" i="1"/>
  <c r="H117" i="1"/>
  <c r="H105" i="1"/>
  <c r="H93" i="1"/>
  <c r="H81" i="1"/>
  <c r="H69" i="1"/>
  <c r="H57" i="1"/>
  <c r="H51" i="1"/>
  <c r="H39" i="1"/>
  <c r="H27" i="1"/>
  <c r="H15" i="1"/>
  <c r="H3" i="1"/>
  <c r="H55" i="1"/>
  <c r="H29" i="1"/>
  <c r="H70" i="1"/>
  <c r="H164" i="1"/>
  <c r="H152" i="1"/>
  <c r="H140" i="1"/>
  <c r="H128" i="1"/>
  <c r="H116" i="1"/>
  <c r="H104" i="1"/>
  <c r="H92" i="1"/>
  <c r="H80" i="1"/>
  <c r="H68" i="1"/>
  <c r="H50" i="1"/>
  <c r="H38" i="1"/>
  <c r="H26" i="1"/>
  <c r="H14" i="1"/>
  <c r="H2" i="1"/>
  <c r="H78" i="1"/>
  <c r="H24" i="1"/>
  <c r="H134" i="1"/>
  <c r="H98" i="1"/>
  <c r="H32" i="1"/>
  <c r="H109" i="1"/>
  <c r="H43" i="1"/>
  <c r="H17" i="1"/>
  <c r="H106" i="1"/>
  <c r="H163" i="1"/>
  <c r="H151" i="1"/>
  <c r="H139" i="1"/>
  <c r="H127" i="1"/>
  <c r="H115" i="1"/>
  <c r="H103" i="1"/>
  <c r="H91" i="1"/>
  <c r="H79" i="1"/>
  <c r="H67" i="1"/>
  <c r="H49" i="1"/>
  <c r="H37" i="1"/>
  <c r="H25" i="1"/>
  <c r="H13" i="1"/>
  <c r="H90" i="1"/>
  <c r="H48" i="1"/>
  <c r="H87" i="1"/>
  <c r="H9" i="1"/>
  <c r="H110" i="1"/>
  <c r="H133" i="1"/>
  <c r="H19" i="1"/>
  <c r="H142" i="1"/>
  <c r="H28" i="1"/>
  <c r="H162" i="1"/>
  <c r="H150" i="1"/>
  <c r="H138" i="1"/>
  <c r="H126" i="1"/>
  <c r="H114" i="1"/>
  <c r="H102" i="1"/>
  <c r="H66" i="1"/>
  <c r="H36" i="1"/>
  <c r="H12" i="1"/>
  <c r="H45" i="1"/>
  <c r="H158" i="1"/>
  <c r="H86" i="1"/>
  <c r="H20" i="1"/>
  <c r="H121" i="1"/>
  <c r="H31" i="1"/>
  <c r="H5" i="1"/>
  <c r="H94" i="1"/>
  <c r="H161" i="1"/>
  <c r="H149" i="1"/>
  <c r="H137" i="1"/>
  <c r="H125" i="1"/>
  <c r="H113" i="1"/>
  <c r="H101" i="1"/>
  <c r="H89" i="1"/>
  <c r="H77" i="1"/>
  <c r="H65" i="1"/>
  <c r="H47" i="1"/>
  <c r="H35" i="1"/>
  <c r="H23" i="1"/>
  <c r="H11" i="1"/>
  <c r="H147" i="1"/>
  <c r="H123" i="1"/>
  <c r="H75" i="1"/>
  <c r="H21" i="1"/>
  <c r="H122" i="1"/>
  <c r="H62" i="1"/>
  <c r="H157" i="1"/>
  <c r="H85" i="1"/>
  <c r="H7" i="1"/>
  <c r="H130" i="1"/>
  <c r="H40" i="1"/>
  <c r="H160" i="1"/>
  <c r="H148" i="1"/>
  <c r="H136" i="1"/>
  <c r="H124" i="1"/>
  <c r="H112" i="1"/>
  <c r="H100" i="1"/>
  <c r="H88" i="1"/>
  <c r="H76" i="1"/>
  <c r="H64" i="1"/>
  <c r="H46" i="1"/>
  <c r="H34" i="1"/>
  <c r="H22" i="1"/>
  <c r="H10" i="1"/>
  <c r="H159" i="1"/>
  <c r="H135" i="1"/>
  <c r="H111" i="1"/>
  <c r="H63" i="1"/>
  <c r="H33" i="1"/>
  <c r="H146" i="1"/>
  <c r="H74" i="1"/>
  <c r="H8" i="1"/>
  <c r="H97" i="1"/>
  <c r="H61" i="1"/>
  <c r="H53" i="1"/>
  <c r="H58" i="1"/>
  <c r="H4" i="1"/>
  <c r="H99" i="1"/>
  <c r="H44" i="1"/>
  <c r="H145" i="1"/>
  <c r="H73" i="1"/>
  <c r="H154" i="1"/>
  <c r="H52" i="1"/>
  <c r="H156" i="1"/>
  <c r="H144" i="1"/>
  <c r="H132" i="1"/>
  <c r="H120" i="1"/>
  <c r="H108" i="1"/>
  <c r="H96" i="1"/>
  <c r="H84" i="1"/>
  <c r="H72" i="1"/>
  <c r="H60" i="1"/>
  <c r="H54" i="1"/>
  <c r="H42" i="1"/>
  <c r="H30" i="1"/>
  <c r="H18" i="1"/>
  <c r="H6" i="1"/>
  <c r="H131" i="1"/>
  <c r="H107" i="1"/>
  <c r="H71" i="1"/>
  <c r="H41" i="1"/>
  <c r="H82" i="1"/>
  <c r="H155" i="1"/>
  <c r="H143" i="1"/>
  <c r="H119" i="1"/>
  <c r="H95" i="1"/>
  <c r="H83" i="1"/>
  <c r="H59" i="1"/>
  <c r="H118" i="1"/>
  <c r="H16" i="1"/>
  <c r="H56" i="1"/>
</calcChain>
</file>

<file path=xl/sharedStrings.xml><?xml version="1.0" encoding="utf-8"?>
<sst xmlns="http://schemas.openxmlformats.org/spreadsheetml/2006/main" count="336" uniqueCount="336">
  <si>
    <t>证券代码</t>
  </si>
  <si>
    <t>证券简称</t>
  </si>
  <si>
    <t>业绩预告首次披露日期_x000D_
[报告期] 2025年报↓</t>
  </si>
  <si>
    <t>预告扣非净利润下限_x000D_
[报告期] 2025年报_x000D_
[单位] 亿元</t>
  </si>
  <si>
    <t>扣除非经常性损益后归属母公司股东的净利润_x000D_
[报告期] 2025三季_x000D_
[报表类型] 合并报表_x000D_
[单位] 亿元</t>
  </si>
  <si>
    <t>单季度.扣除非经常性损益后归属母公司股东的净利润_x000D_
[报告期] 2024第四季度_x000D_
[单位] 亿元</t>
  </si>
  <si>
    <t>单季度.扣除非经常性损益后归属母公司股东的净利润_x000D_
[报告期] 2025第三季度_x000D_
[单位] 亿元</t>
  </si>
  <si>
    <t>000408.SZ</t>
  </si>
  <si>
    <t>000592.SZ</t>
  </si>
  <si>
    <t>平潭发展</t>
  </si>
  <si>
    <t>000629.SZ</t>
  </si>
  <si>
    <t>钒钛股份</t>
  </si>
  <si>
    <t>002284.SZ</t>
  </si>
  <si>
    <t>亚太股份</t>
  </si>
  <si>
    <t>002345.SZ</t>
  </si>
  <si>
    <t>潮宏基</t>
  </si>
  <si>
    <t>002459.SZ</t>
  </si>
  <si>
    <t>晶澳科技</t>
  </si>
  <si>
    <t>002942.SZ</t>
  </si>
  <si>
    <t>新农股份</t>
  </si>
  <si>
    <t>300782.SZ</t>
  </si>
  <si>
    <t>卓胜微</t>
  </si>
  <si>
    <t>600186.SH</t>
  </si>
  <si>
    <t>莲花控股</t>
  </si>
  <si>
    <t>600217.SH</t>
  </si>
  <si>
    <t>中再资环</t>
  </si>
  <si>
    <t>600227.SH</t>
  </si>
  <si>
    <t>赤天化</t>
  </si>
  <si>
    <t>600280.SH</t>
  </si>
  <si>
    <t>中央商场</t>
  </si>
  <si>
    <t>600370.SH</t>
  </si>
  <si>
    <t>三房巷</t>
  </si>
  <si>
    <t>600533.SH</t>
  </si>
  <si>
    <t>栖霞建设</t>
  </si>
  <si>
    <t>600594.SH</t>
  </si>
  <si>
    <t>益佰制药</t>
  </si>
  <si>
    <t>600696.SH</t>
  </si>
  <si>
    <t>*ST岩石</t>
  </si>
  <si>
    <t>600703.SH</t>
  </si>
  <si>
    <t>三安光电</t>
  </si>
  <si>
    <t>600843.SH</t>
  </si>
  <si>
    <t>上工申贝</t>
  </si>
  <si>
    <t>601933.SH</t>
  </si>
  <si>
    <t>永辉超市</t>
  </si>
  <si>
    <t>603168.SH</t>
  </si>
  <si>
    <t>莎普爱思</t>
  </si>
  <si>
    <t>603259.SH</t>
  </si>
  <si>
    <t>药明康德</t>
  </si>
  <si>
    <t>603385.SH</t>
  </si>
  <si>
    <t>惠达卫浴</t>
  </si>
  <si>
    <t>603488.SH</t>
  </si>
  <si>
    <t>展鹏科技</t>
  </si>
  <si>
    <t>603536.SH</t>
  </si>
  <si>
    <t>惠发食品</t>
  </si>
  <si>
    <t>603663.SH</t>
  </si>
  <si>
    <t>三祥新材</t>
  </si>
  <si>
    <t>688005.SH</t>
  </si>
  <si>
    <t>容百科技</t>
  </si>
  <si>
    <t>688192.SH</t>
  </si>
  <si>
    <t>迪哲医药-U</t>
  </si>
  <si>
    <t>300122.SZ</t>
  </si>
  <si>
    <t>智飞生物</t>
  </si>
  <si>
    <t>300926.SZ</t>
  </si>
  <si>
    <t>博俊科技</t>
  </si>
  <si>
    <t>600199.SH</t>
  </si>
  <si>
    <t>金种子酒</t>
  </si>
  <si>
    <t>600207.SH</t>
  </si>
  <si>
    <t>安彩高科</t>
  </si>
  <si>
    <t>600252.SH</t>
  </si>
  <si>
    <t>中恒集团</t>
  </si>
  <si>
    <t>600955.SH</t>
  </si>
  <si>
    <t>维远股份</t>
  </si>
  <si>
    <t>600990.SH</t>
  </si>
  <si>
    <t>四创电子</t>
  </si>
  <si>
    <t>603010.SH</t>
  </si>
  <si>
    <t>万盛股份</t>
  </si>
  <si>
    <t>603077.SH</t>
  </si>
  <si>
    <t>和邦生物</t>
  </si>
  <si>
    <t>603626.SH</t>
  </si>
  <si>
    <t>科森科技</t>
  </si>
  <si>
    <t>605555.SH</t>
  </si>
  <si>
    <t>德昌股份</t>
  </si>
  <si>
    <t>600053.SH</t>
  </si>
  <si>
    <t>九鼎投资</t>
  </si>
  <si>
    <t>600246.SH</t>
  </si>
  <si>
    <t>万通发展</t>
  </si>
  <si>
    <t>600322.SH</t>
  </si>
  <si>
    <t>津投城开</t>
  </si>
  <si>
    <t>600376.SH</t>
  </si>
  <si>
    <t>首开股份</t>
  </si>
  <si>
    <t>600491.SH</t>
  </si>
  <si>
    <t>龙元建设</t>
  </si>
  <si>
    <t>600501.SH</t>
  </si>
  <si>
    <t>航天晨光</t>
  </si>
  <si>
    <t>600606.SH</t>
  </si>
  <si>
    <t>绿地控股</t>
  </si>
  <si>
    <t>600685.SH</t>
  </si>
  <si>
    <t>中船防务</t>
  </si>
  <si>
    <t>600719.SH</t>
  </si>
  <si>
    <t>大连热电</t>
  </si>
  <si>
    <t>601519.SH</t>
  </si>
  <si>
    <t>大智慧</t>
  </si>
  <si>
    <t>603778.SH</t>
  </si>
  <si>
    <t>国晟科技</t>
  </si>
  <si>
    <t>688208.SH</t>
  </si>
  <si>
    <t>道通科技</t>
  </si>
  <si>
    <t>688508.SH</t>
  </si>
  <si>
    <t>芯朋微</t>
  </si>
  <si>
    <t>688660.SH</t>
  </si>
  <si>
    <t>电气风电</t>
  </si>
  <si>
    <t>688707.SH</t>
  </si>
  <si>
    <t>振华新材</t>
  </si>
  <si>
    <t>688777.SH</t>
  </si>
  <si>
    <t>中控技术</t>
  </si>
  <si>
    <t>002925.SZ</t>
  </si>
  <si>
    <t>盈趣科技</t>
  </si>
  <si>
    <t>300482.SZ</t>
  </si>
  <si>
    <t>万孚生物</t>
  </si>
  <si>
    <t>300627.SZ</t>
  </si>
  <si>
    <t>华测导航</t>
  </si>
  <si>
    <t>300871.SZ</t>
  </si>
  <si>
    <t>回盛生物</t>
  </si>
  <si>
    <t>300887.SZ</t>
  </si>
  <si>
    <t>谱尼测试</t>
  </si>
  <si>
    <t>600337.SH</t>
  </si>
  <si>
    <t>美克家居</t>
  </si>
  <si>
    <t>600340.SH</t>
  </si>
  <si>
    <t>华夏幸福</t>
  </si>
  <si>
    <t>601872.SH</t>
  </si>
  <si>
    <t>招商轮船</t>
  </si>
  <si>
    <t>603895.SH</t>
  </si>
  <si>
    <t>天永智能</t>
  </si>
  <si>
    <t>688362.SH</t>
  </si>
  <si>
    <t>甬矽电子</t>
  </si>
  <si>
    <t>300389.SZ</t>
  </si>
  <si>
    <t>艾比森</t>
  </si>
  <si>
    <t>300498.SZ</t>
  </si>
  <si>
    <t>温氏股份</t>
  </si>
  <si>
    <t>300505.SZ</t>
  </si>
  <si>
    <t>川金诺</t>
  </si>
  <si>
    <t>300748.SZ</t>
  </si>
  <si>
    <t>金力永磁</t>
  </si>
  <si>
    <t>300905.SZ</t>
  </si>
  <si>
    <t>宝丽迪</t>
  </si>
  <si>
    <t>600072.SH</t>
  </si>
  <si>
    <t>中船科技</t>
  </si>
  <si>
    <t>600189.SH</t>
  </si>
  <si>
    <t>泉阳泉</t>
  </si>
  <si>
    <t>600435.SH</t>
  </si>
  <si>
    <t>北方导航</t>
  </si>
  <si>
    <t>600500.SH</t>
  </si>
  <si>
    <t>中化国际</t>
  </si>
  <si>
    <t>600537.SH</t>
  </si>
  <si>
    <t>亿晶光电</t>
  </si>
  <si>
    <t>600617.SH</t>
  </si>
  <si>
    <t>国新能源</t>
  </si>
  <si>
    <t>603309.SH</t>
  </si>
  <si>
    <t>维力医疗</t>
  </si>
  <si>
    <t>603318.SH</t>
  </si>
  <si>
    <t>水发燃气</t>
  </si>
  <si>
    <t>603533.SH</t>
  </si>
  <si>
    <t>掌阅科技</t>
  </si>
  <si>
    <t>603588.SH</t>
  </si>
  <si>
    <t>高能环境</t>
  </si>
  <si>
    <t>603589.SH</t>
  </si>
  <si>
    <t>口子窖</t>
  </si>
  <si>
    <t>603590.SH</t>
  </si>
  <si>
    <t>康辰药业</t>
  </si>
  <si>
    <t>603912.SH</t>
  </si>
  <si>
    <t>佳力图</t>
  </si>
  <si>
    <t>688332.SH</t>
  </si>
  <si>
    <t>中科蓝讯</t>
  </si>
  <si>
    <t>688516.SH</t>
  </si>
  <si>
    <t>奥特维</t>
  </si>
  <si>
    <t>002258.SZ</t>
  </si>
  <si>
    <t>利尔化学</t>
  </si>
  <si>
    <t>002080.SZ</t>
  </si>
  <si>
    <t>中材科技</t>
  </si>
  <si>
    <t>002204.SZ</t>
  </si>
  <si>
    <t>大连重工</t>
  </si>
  <si>
    <t>002444.SZ</t>
  </si>
  <si>
    <t>巨星科技</t>
  </si>
  <si>
    <t>002598.SZ</t>
  </si>
  <si>
    <t>山东章鼓</t>
  </si>
  <si>
    <t>002757.SZ</t>
  </si>
  <si>
    <t>南兴股份</t>
  </si>
  <si>
    <t>002846.SZ</t>
  </si>
  <si>
    <t>英联股份</t>
  </si>
  <si>
    <t>300435.SZ</t>
  </si>
  <si>
    <t>中泰股份</t>
  </si>
  <si>
    <t>301345.SZ</t>
  </si>
  <si>
    <t>涛涛车业</t>
  </si>
  <si>
    <t>600983.SH</t>
  </si>
  <si>
    <t>惠而浦</t>
  </si>
  <si>
    <t>600988.SH</t>
  </si>
  <si>
    <t>赤峰黄金</t>
  </si>
  <si>
    <t>603799.SH</t>
  </si>
  <si>
    <t>华友钴业</t>
  </si>
  <si>
    <t>003017.SZ</t>
  </si>
  <si>
    <t>大洋生物</t>
  </si>
  <si>
    <t>300428.SZ</t>
  </si>
  <si>
    <t>立中集团</t>
  </si>
  <si>
    <t>301377.SZ</t>
  </si>
  <si>
    <t>鼎泰高科</t>
  </si>
  <si>
    <t>301606.SZ</t>
  </si>
  <si>
    <t>绿联科技</t>
  </si>
  <si>
    <t>601339.SH</t>
  </si>
  <si>
    <t>百隆东方</t>
  </si>
  <si>
    <t>000792.SZ</t>
  </si>
  <si>
    <t>盐湖股份</t>
  </si>
  <si>
    <t>000932.SZ</t>
  </si>
  <si>
    <t>华菱钢铁</t>
  </si>
  <si>
    <t>000959.SZ</t>
  </si>
  <si>
    <t>首钢股份</t>
  </si>
  <si>
    <t>002010.SZ</t>
  </si>
  <si>
    <t>传化智联</t>
  </si>
  <si>
    <t>002709.SZ</t>
  </si>
  <si>
    <t>天赐材料</t>
  </si>
  <si>
    <t>300620.SZ</t>
  </si>
  <si>
    <t>光库科技</t>
  </si>
  <si>
    <t>301078.SZ</t>
  </si>
  <si>
    <t>孩子王</t>
  </si>
  <si>
    <t>601899.SH</t>
  </si>
  <si>
    <t>紫金矿业</t>
  </si>
  <si>
    <t>002050.SZ</t>
  </si>
  <si>
    <t>三花智控</t>
  </si>
  <si>
    <t>数据来源：Wind</t>
  </si>
  <si>
    <t>总市值
[单位] 亿元</t>
    <phoneticPr fontId="3" type="noConversion"/>
  </si>
  <si>
    <t>000100.SZ</t>
  </si>
  <si>
    <t>TCL科技</t>
  </si>
  <si>
    <t>000738.SZ</t>
  </si>
  <si>
    <t>航发控制</t>
  </si>
  <si>
    <t>001283.SZ</t>
  </si>
  <si>
    <t>豪鹏科技</t>
  </si>
  <si>
    <t>002107.SZ</t>
  </si>
  <si>
    <t>沃华医药</t>
  </si>
  <si>
    <t>002240.SZ</t>
  </si>
  <si>
    <t>盛新锂能</t>
  </si>
  <si>
    <t>002879.SZ</t>
  </si>
  <si>
    <t>长缆科技</t>
  </si>
  <si>
    <t>600135.SH</t>
  </si>
  <si>
    <t>乐凯胶片</t>
  </si>
  <si>
    <t>600231.SH</t>
  </si>
  <si>
    <t>凌钢股份</t>
  </si>
  <si>
    <t>600588.SH</t>
  </si>
  <si>
    <t>用友网络</t>
  </si>
  <si>
    <t>600676.SH</t>
  </si>
  <si>
    <t>交运股份</t>
  </si>
  <si>
    <t>601015.SH</t>
  </si>
  <si>
    <t>陕西黑猫</t>
  </si>
  <si>
    <t>603773.SH</t>
  </si>
  <si>
    <t>沃格光电</t>
  </si>
  <si>
    <t>603882.SH</t>
  </si>
  <si>
    <t>金域医学</t>
  </si>
  <si>
    <t>605366.SH</t>
  </si>
  <si>
    <t>宏柏新材</t>
  </si>
  <si>
    <t>605399.SH</t>
  </si>
  <si>
    <t>晨光新材</t>
  </si>
  <si>
    <t>605499.SH</t>
  </si>
  <si>
    <t>东鹏饮料</t>
  </si>
  <si>
    <t>688525.SH</t>
  </si>
  <si>
    <t>佰维存储</t>
  </si>
  <si>
    <t>000016.SZ</t>
  </si>
  <si>
    <t>深康佳A</t>
  </si>
  <si>
    <t>000032.SZ</t>
  </si>
  <si>
    <t>深桑达A</t>
  </si>
  <si>
    <t>000430.SZ</t>
  </si>
  <si>
    <t>*ST张股</t>
  </si>
  <si>
    <t>000859.SZ</t>
  </si>
  <si>
    <t>国风新材</t>
  </si>
  <si>
    <t>001212.SZ</t>
  </si>
  <si>
    <t>中旗新材</t>
  </si>
  <si>
    <t>002299.SZ</t>
  </si>
  <si>
    <t>圣农发展</t>
  </si>
  <si>
    <t>002405.SZ</t>
  </si>
  <si>
    <t>四维图新</t>
  </si>
  <si>
    <t>002465.SZ</t>
  </si>
  <si>
    <t>海格通信</t>
  </si>
  <si>
    <t>002534.SZ</t>
  </si>
  <si>
    <t>西子洁能</t>
  </si>
  <si>
    <t>002969.SZ</t>
  </si>
  <si>
    <t>嘉美包装</t>
  </si>
  <si>
    <t>300085.SZ</t>
  </si>
  <si>
    <t>银之杰</t>
  </si>
  <si>
    <t>300723.SZ</t>
  </si>
  <si>
    <t>一品红</t>
  </si>
  <si>
    <t>600383.SH</t>
  </si>
  <si>
    <t>金地集团</t>
  </si>
  <si>
    <t>600403.SH</t>
  </si>
  <si>
    <t>大有能源</t>
  </si>
  <si>
    <t>600513.SH</t>
  </si>
  <si>
    <t>联环药业</t>
  </si>
  <si>
    <t>601588.SH</t>
  </si>
  <si>
    <t>北辰实业</t>
  </si>
  <si>
    <t>601798.SH</t>
  </si>
  <si>
    <t>蓝科高新</t>
  </si>
  <si>
    <t>601992.SH</t>
  </si>
  <si>
    <t>金隅集团</t>
  </si>
  <si>
    <t>603061.SH</t>
  </si>
  <si>
    <t>金海通</t>
  </si>
  <si>
    <t>603186.SH</t>
  </si>
  <si>
    <t>华正新材</t>
  </si>
  <si>
    <t>603818.SH</t>
  </si>
  <si>
    <t>曲美家居</t>
  </si>
  <si>
    <t>603956.SH</t>
  </si>
  <si>
    <t>威派格</t>
  </si>
  <si>
    <t>603992.SH</t>
  </si>
  <si>
    <t>松霖科技</t>
  </si>
  <si>
    <t>605006.SH</t>
  </si>
  <si>
    <t>山东玻纤</t>
  </si>
  <si>
    <t>605020.SH</t>
  </si>
  <si>
    <t>永和股份</t>
  </si>
  <si>
    <t>605055.SH</t>
  </si>
  <si>
    <t>迎丰股份</t>
  </si>
  <si>
    <t>605177.SH</t>
  </si>
  <si>
    <t>东亚药业</t>
  </si>
  <si>
    <t>688033.SH</t>
  </si>
  <si>
    <t>天宜新材</t>
  </si>
  <si>
    <t>688066.SH</t>
  </si>
  <si>
    <t>航天宏图</t>
  </si>
  <si>
    <t>688126.SH</t>
  </si>
  <si>
    <t>沪硅产业</t>
  </si>
  <si>
    <t>688223.SH</t>
  </si>
  <si>
    <t>晶科能源</t>
  </si>
  <si>
    <t>688303.SH</t>
  </si>
  <si>
    <t>大全能源</t>
  </si>
  <si>
    <t>688528.SH</t>
  </si>
  <si>
    <t>秦川物联</t>
  </si>
  <si>
    <t>688538.SH</t>
  </si>
  <si>
    <t>和辉光电-U</t>
  </si>
  <si>
    <t>688561.SH</t>
  </si>
  <si>
    <t>奇安信-U</t>
  </si>
  <si>
    <t>688598.SH</t>
  </si>
  <si>
    <t>金博股份</t>
  </si>
  <si>
    <t>688599.SH</t>
  </si>
  <si>
    <t>天合光能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</si>
</sst>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##,###,###,##0.0000"/>
    <numFmt numFmtId="177" formatCode="yyyy\-mm\-dd"/>
    <numFmt numFmtId="178" formatCode="###,###,##0.0000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indexed="1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76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top"/>
    </xf>
    <xf numFmtId="49" fontId="0" fillId="0" borderId="1" xfId="0" applyNumberFormat="1" applyBorder="1" applyAlignment="1">
      <alignment horizontal="center" vertical="top"/>
    </xf>
    <xf numFmtId="177" fontId="0" fillId="0" borderId="1" xfId="0" applyNumberForma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val_mv_ref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7"/>
  <sheetViews>
    <sheetView tabSelected="1" workbookViewId="0">
      <selection activeCell="D10" sqref="D10"/>
    </sheetView>
  </sheetViews>
  <sheetFormatPr defaultRowHeight="14.25" x14ac:dyDescent="0.2"/>
  <cols>
    <col min="1" max="1" width="18" style="6" bestFit="1" customWidth="1"/>
    <col min="2" max="2" width="19.625" style="6" bestFit="1" customWidth="1"/>
    <col min="3" max="3" width="30.625" style="6" bestFit="1" customWidth="1"/>
    <col min="4" max="4" width="19.875" style="6" bestFit="1" customWidth="1"/>
    <col min="5" max="5" width="18" style="6" bestFit="1" customWidth="1"/>
    <col min="6" max="6" width="20.125" style="6" bestFit="1" customWidth="1"/>
    <col min="7" max="7" width="19.5" style="6" bestFit="1" customWidth="1"/>
    <col min="8" max="8" width="31.125" style="6" bestFit="1" customWidth="1"/>
    <col min="9" max="16384" width="9" style="10"/>
  </cols>
  <sheetData>
    <row r="1" spans="1:8" ht="85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227</v>
      </c>
    </row>
    <row r="2" spans="1:8" s="11" customFormat="1" x14ac:dyDescent="0.2">
      <c r="A2" s="2" t="s">
        <v>262</v>
      </c>
      <c r="B2" s="2" t="s">
        <v>263</v>
      </c>
      <c r="C2" s="3">
        <v>46037</v>
      </c>
      <c r="D2" s="2"/>
      <c r="E2" s="4">
        <v>-15.216930117</v>
      </c>
      <c r="F2" s="4">
        <v>-14.880849619499999</v>
      </c>
      <c r="G2" s="4">
        <v>-4.9419088644000002</v>
      </c>
      <c r="H2" s="5">
        <f>[1]!s_val_mv_ref(A2,C2-1,100000000)</f>
        <v>121.84203764</v>
      </c>
    </row>
    <row r="3" spans="1:8" s="11" customFormat="1" x14ac:dyDescent="0.2">
      <c r="A3" s="2" t="s">
        <v>264</v>
      </c>
      <c r="B3" s="2" t="s">
        <v>265</v>
      </c>
      <c r="C3" s="3">
        <v>46037</v>
      </c>
      <c r="D3" s="4">
        <v>-3.85</v>
      </c>
      <c r="E3" s="4">
        <v>-4.5244299651000004</v>
      </c>
      <c r="F3" s="4">
        <v>3.4943805273000001</v>
      </c>
      <c r="G3" s="4">
        <v>-3.3920062867</v>
      </c>
      <c r="H3" s="5">
        <f>[1]!s_val_mv_ref(A3,C3-1,100000000)</f>
        <v>264.68931782999994</v>
      </c>
    </row>
    <row r="4" spans="1:8" s="11" customFormat="1" x14ac:dyDescent="0.2">
      <c r="A4" s="2" t="s">
        <v>266</v>
      </c>
      <c r="B4" s="2" t="s">
        <v>267</v>
      </c>
      <c r="C4" s="3">
        <v>46037</v>
      </c>
      <c r="D4" s="4">
        <v>-5.32</v>
      </c>
      <c r="E4" s="4">
        <v>-0.32903119860000002</v>
      </c>
      <c r="F4" s="4">
        <v>-5.1604095127000003</v>
      </c>
      <c r="G4" s="4">
        <v>2.6554225999999999E-3</v>
      </c>
      <c r="H4" s="5">
        <f>[1]!s_val_mv_ref(A4,C4-1,100000000)</f>
        <v>60.479762289999996</v>
      </c>
    </row>
    <row r="5" spans="1:8" s="11" customFormat="1" x14ac:dyDescent="0.2">
      <c r="A5" s="2" t="s">
        <v>268</v>
      </c>
      <c r="B5" s="2" t="s">
        <v>269</v>
      </c>
      <c r="C5" s="3">
        <v>46037</v>
      </c>
      <c r="D5" s="4">
        <v>-0.95</v>
      </c>
      <c r="E5" s="4">
        <v>-0.73136138880000001</v>
      </c>
      <c r="F5" s="4">
        <v>2.11755107E-2</v>
      </c>
      <c r="G5" s="4">
        <v>-0.27294227049999997</v>
      </c>
      <c r="H5" s="5">
        <f>[1]!s_val_mv_ref(A5,C5-1,100000000)</f>
        <v>110.92186235</v>
      </c>
    </row>
    <row r="6" spans="1:8" s="11" customFormat="1" x14ac:dyDescent="0.2">
      <c r="A6" s="2" t="s">
        <v>270</v>
      </c>
      <c r="B6" s="2" t="s">
        <v>271</v>
      </c>
      <c r="C6" s="3">
        <v>46037</v>
      </c>
      <c r="D6" s="4">
        <v>-0.39500000000000002</v>
      </c>
      <c r="E6" s="4">
        <v>5.7260610999999998E-3</v>
      </c>
      <c r="F6" s="4">
        <v>-9.0120335499999996E-2</v>
      </c>
      <c r="G6" s="4">
        <v>1.233814E-3</v>
      </c>
      <c r="H6" s="5">
        <f>[1]!s_val_mv_ref(A6,C6-1,100000000)</f>
        <v>97.264458020000006</v>
      </c>
    </row>
    <row r="7" spans="1:8" s="11" customFormat="1" x14ac:dyDescent="0.2">
      <c r="A7" s="2" t="s">
        <v>272</v>
      </c>
      <c r="B7" s="2" t="s">
        <v>273</v>
      </c>
      <c r="C7" s="3">
        <v>46037</v>
      </c>
      <c r="D7" s="4">
        <v>8.3000000000000007</v>
      </c>
      <c r="E7" s="4">
        <v>6.3215228407000001</v>
      </c>
      <c r="F7" s="4">
        <v>3.2282996670999999</v>
      </c>
      <c r="G7" s="4">
        <v>2.5654126063999998</v>
      </c>
      <c r="H7" s="5">
        <f>[1]!s_val_mv_ref(A7,C7-1,100000000)</f>
        <v>200.38960943000001</v>
      </c>
    </row>
    <row r="8" spans="1:8" s="11" customFormat="1" x14ac:dyDescent="0.2">
      <c r="A8" s="2" t="s">
        <v>274</v>
      </c>
      <c r="B8" s="2" t="s">
        <v>275</v>
      </c>
      <c r="C8" s="3">
        <v>46037</v>
      </c>
      <c r="D8" s="4">
        <v>-15.093577</v>
      </c>
      <c r="E8" s="4">
        <v>-7.2017450288999996</v>
      </c>
      <c r="F8" s="4">
        <v>-6.1841915078999996</v>
      </c>
      <c r="G8" s="4">
        <v>-4.0296042726000003</v>
      </c>
      <c r="H8" s="5">
        <f>[1]!s_val_mv_ref(A8,C8-1,100000000)</f>
        <v>250.81464452</v>
      </c>
    </row>
    <row r="9" spans="1:8" s="11" customFormat="1" x14ac:dyDescent="0.2">
      <c r="A9" s="2" t="s">
        <v>276</v>
      </c>
      <c r="B9" s="2" t="s">
        <v>277</v>
      </c>
      <c r="C9" s="3">
        <v>46037</v>
      </c>
      <c r="D9" s="2"/>
      <c r="E9" s="4">
        <v>-2.2708977784000002</v>
      </c>
      <c r="F9" s="4">
        <v>-1.5564074524</v>
      </c>
      <c r="G9" s="4">
        <v>-1.9075350848999999</v>
      </c>
      <c r="H9" s="5">
        <f>[1]!s_val_mv_ref(A9,C9-1,100000000)</f>
        <v>660.66419696000003</v>
      </c>
    </row>
    <row r="10" spans="1:8" s="11" customFormat="1" x14ac:dyDescent="0.2">
      <c r="A10" s="2" t="s">
        <v>278</v>
      </c>
      <c r="B10" s="2" t="s">
        <v>279</v>
      </c>
      <c r="C10" s="3">
        <v>46037</v>
      </c>
      <c r="D10" s="4">
        <v>2.2000000000000002</v>
      </c>
      <c r="E10" s="4">
        <v>1.5013101666999999</v>
      </c>
      <c r="F10" s="4">
        <v>-0.25457016780000002</v>
      </c>
      <c r="G10" s="4">
        <v>0.21390607419999999</v>
      </c>
      <c r="H10" s="5">
        <f>[1]!s_val_mv_ref(A10,C10-1,100000000)</f>
        <v>147.12459114999999</v>
      </c>
    </row>
    <row r="11" spans="1:8" s="11" customFormat="1" x14ac:dyDescent="0.2">
      <c r="A11" s="2" t="s">
        <v>280</v>
      </c>
      <c r="B11" s="2" t="s">
        <v>281</v>
      </c>
      <c r="C11" s="3">
        <v>46037</v>
      </c>
      <c r="D11" s="4">
        <v>0.768397</v>
      </c>
      <c r="E11" s="4">
        <v>0.35244285419999999</v>
      </c>
      <c r="F11" s="4">
        <v>1.1005491303999999</v>
      </c>
      <c r="G11" s="4">
        <v>0.189869909</v>
      </c>
      <c r="H11" s="5">
        <f>[1]!s_val_mv_ref(A11,C11-1,100000000)</f>
        <v>194.09110312999999</v>
      </c>
    </row>
    <row r="12" spans="1:8" s="11" customFormat="1" x14ac:dyDescent="0.2">
      <c r="A12" s="2" t="s">
        <v>282</v>
      </c>
      <c r="B12" s="2" t="s">
        <v>283</v>
      </c>
      <c r="C12" s="3">
        <v>46037</v>
      </c>
      <c r="D12" s="2"/>
      <c r="E12" s="4">
        <v>-0.73574504569999999</v>
      </c>
      <c r="F12" s="4">
        <v>-0.66383401119999996</v>
      </c>
      <c r="G12" s="4">
        <v>-0.202991846</v>
      </c>
      <c r="H12" s="5">
        <f>[1]!s_val_mv_ref(A12,C12-1,100000000)</f>
        <v>332.96902009000001</v>
      </c>
    </row>
    <row r="13" spans="1:8" s="11" customFormat="1" x14ac:dyDescent="0.2">
      <c r="A13" s="2" t="s">
        <v>284</v>
      </c>
      <c r="B13" s="2" t="s">
        <v>285</v>
      </c>
      <c r="C13" s="3">
        <v>46037</v>
      </c>
      <c r="D13" s="4">
        <v>-4.7460889999999996</v>
      </c>
      <c r="E13" s="4">
        <v>-1.7909482242999999</v>
      </c>
      <c r="F13" s="4">
        <v>-2.9265454892</v>
      </c>
      <c r="G13" s="4">
        <v>-0.70893514049999995</v>
      </c>
      <c r="H13" s="5">
        <f>[1]!s_val_mv_ref(A13,C13-1,100000000)</f>
        <v>188.58172981000001</v>
      </c>
    </row>
    <row r="14" spans="1:8" s="11" customFormat="1" x14ac:dyDescent="0.2">
      <c r="A14" s="2" t="s">
        <v>286</v>
      </c>
      <c r="B14" s="2" t="s">
        <v>287</v>
      </c>
      <c r="C14" s="3">
        <v>46037</v>
      </c>
      <c r="D14" s="2"/>
      <c r="E14" s="4">
        <v>-41.461913127199999</v>
      </c>
      <c r="F14" s="4">
        <v>-17.300722843199999</v>
      </c>
      <c r="G14" s="4">
        <v>-5.9612781711</v>
      </c>
      <c r="H14" s="5">
        <f>[1]!s_val_mv_ref(A14,C14-1,100000000)</f>
        <v>140.40354909000001</v>
      </c>
    </row>
    <row r="15" spans="1:8" s="11" customFormat="1" x14ac:dyDescent="0.2">
      <c r="A15" s="2" t="s">
        <v>288</v>
      </c>
      <c r="B15" s="2" t="s">
        <v>289</v>
      </c>
      <c r="C15" s="3">
        <v>46037</v>
      </c>
      <c r="D15" s="4">
        <v>-18.350000000000001</v>
      </c>
      <c r="E15" s="4">
        <v>-11.515264415200001</v>
      </c>
      <c r="F15" s="4">
        <v>-3.5111371852</v>
      </c>
      <c r="G15" s="4">
        <v>-2.8343247296</v>
      </c>
      <c r="H15" s="5">
        <f>[1]!s_val_mv_ref(A15,C15-1,100000000)</f>
        <v>183.37531122999999</v>
      </c>
    </row>
    <row r="16" spans="1:8" s="11" customFormat="1" x14ac:dyDescent="0.2">
      <c r="A16" s="2" t="s">
        <v>290</v>
      </c>
      <c r="B16" s="2" t="s">
        <v>291</v>
      </c>
      <c r="C16" s="3">
        <v>46037</v>
      </c>
      <c r="D16" s="2"/>
      <c r="E16" s="4">
        <v>0.22297641870000001</v>
      </c>
      <c r="F16" s="4">
        <v>-0.4056984347</v>
      </c>
      <c r="G16" s="4">
        <v>2.7882759399999998E-2</v>
      </c>
      <c r="H16" s="5">
        <f>[1]!s_val_mv_ref(A16,C16-1,100000000)</f>
        <v>59.546177919999998</v>
      </c>
    </row>
    <row r="17" spans="1:8" s="11" customFormat="1" x14ac:dyDescent="0.2">
      <c r="A17" s="2" t="s">
        <v>292</v>
      </c>
      <c r="B17" s="2" t="s">
        <v>293</v>
      </c>
      <c r="C17" s="3">
        <v>46037</v>
      </c>
      <c r="D17" s="4">
        <v>-33.700000000000003</v>
      </c>
      <c r="E17" s="4">
        <v>-22.122684450000001</v>
      </c>
      <c r="F17" s="4">
        <v>-19.636789799999999</v>
      </c>
      <c r="G17" s="4">
        <v>-6.0116104999999997</v>
      </c>
      <c r="H17" s="5">
        <f>[1]!s_val_mv_ref(A17,C17-1,100000000)</f>
        <v>59.596254000000002</v>
      </c>
    </row>
    <row r="18" spans="1:8" s="11" customFormat="1" x14ac:dyDescent="0.2">
      <c r="A18" s="2" t="s">
        <v>294</v>
      </c>
      <c r="B18" s="2" t="s">
        <v>295</v>
      </c>
      <c r="C18" s="3">
        <v>46037</v>
      </c>
      <c r="D18" s="4">
        <v>0.306921</v>
      </c>
      <c r="E18" s="4">
        <v>0.25271710990000001</v>
      </c>
      <c r="F18" s="4">
        <v>-0.75375683360000001</v>
      </c>
      <c r="G18" s="4">
        <v>0.1003121096</v>
      </c>
      <c r="H18" s="5">
        <f>[1]!s_val_mv_ref(A18,C18-1,100000000)</f>
        <v>32.935669590000003</v>
      </c>
    </row>
    <row r="19" spans="1:8" s="11" customFormat="1" x14ac:dyDescent="0.2">
      <c r="A19" s="2" t="s">
        <v>296</v>
      </c>
      <c r="B19" s="2" t="s">
        <v>297</v>
      </c>
      <c r="C19" s="3">
        <v>46037</v>
      </c>
      <c r="D19" s="4">
        <v>-37.5</v>
      </c>
      <c r="E19" s="4">
        <v>-33.765476663199998</v>
      </c>
      <c r="F19" s="4">
        <v>-6.3640784351999997</v>
      </c>
      <c r="G19" s="4">
        <v>-11.7662800853</v>
      </c>
      <c r="H19" s="5">
        <f>[1]!s_val_mv_ref(A19,C19-1,100000000)</f>
        <v>249.85984454000001</v>
      </c>
    </row>
    <row r="20" spans="1:8" s="11" customFormat="1" x14ac:dyDescent="0.2">
      <c r="A20" s="2" t="s">
        <v>298</v>
      </c>
      <c r="B20" s="2" t="s">
        <v>299</v>
      </c>
      <c r="C20" s="3">
        <v>46037</v>
      </c>
      <c r="D20" s="4">
        <v>1.55</v>
      </c>
      <c r="E20" s="4">
        <v>1.2147956165</v>
      </c>
      <c r="F20" s="4">
        <v>0.30060358269999998</v>
      </c>
      <c r="G20" s="4">
        <v>0.47665465080000002</v>
      </c>
      <c r="H20" s="5">
        <f>[1]!s_val_mv_ref(A20,C20-1,100000000)</f>
        <v>120</v>
      </c>
    </row>
    <row r="21" spans="1:8" s="11" customFormat="1" x14ac:dyDescent="0.2">
      <c r="A21" s="2" t="s">
        <v>300</v>
      </c>
      <c r="B21" s="2" t="s">
        <v>301</v>
      </c>
      <c r="C21" s="3">
        <v>46037</v>
      </c>
      <c r="D21" s="4">
        <v>0.6</v>
      </c>
      <c r="E21" s="4">
        <v>0.49606474919999999</v>
      </c>
      <c r="F21" s="4">
        <v>-1.0823408323999999</v>
      </c>
      <c r="G21" s="4">
        <v>0.1527781121</v>
      </c>
      <c r="H21" s="5">
        <f>[1]!s_val_mv_ref(A21,C21-1,100000000)</f>
        <v>77.261511870000007</v>
      </c>
    </row>
    <row r="22" spans="1:8" s="11" customFormat="1" x14ac:dyDescent="0.2">
      <c r="A22" s="2" t="s">
        <v>302</v>
      </c>
      <c r="B22" s="2" t="s">
        <v>303</v>
      </c>
      <c r="C22" s="3">
        <v>46037</v>
      </c>
      <c r="D22" s="4">
        <v>-1.45</v>
      </c>
      <c r="E22" s="4">
        <v>-1.1116658986000001</v>
      </c>
      <c r="F22" s="4">
        <v>-0.40953798299999999</v>
      </c>
      <c r="G22" s="4">
        <v>-0.33786740459999998</v>
      </c>
      <c r="H22" s="5">
        <f>[1]!s_val_mv_ref(A22,C22-1,100000000)</f>
        <v>25.196159479999999</v>
      </c>
    </row>
    <row r="23" spans="1:8" s="11" customFormat="1" x14ac:dyDescent="0.2">
      <c r="A23" s="2" t="s">
        <v>304</v>
      </c>
      <c r="B23" s="2" t="s">
        <v>305</v>
      </c>
      <c r="C23" s="3">
        <v>46037</v>
      </c>
      <c r="D23" s="4">
        <v>-1.505339</v>
      </c>
      <c r="E23" s="4">
        <v>-0.83006642590000002</v>
      </c>
      <c r="F23" s="4">
        <v>-0.70436508229999995</v>
      </c>
      <c r="G23" s="4">
        <v>7.2176513799999995E-2</v>
      </c>
      <c r="H23" s="5">
        <f>[1]!s_val_mv_ref(A23,C23-1,100000000)</f>
        <v>40.178393159999999</v>
      </c>
    </row>
    <row r="24" spans="1:8" s="11" customFormat="1" x14ac:dyDescent="0.2">
      <c r="A24" s="2" t="s">
        <v>306</v>
      </c>
      <c r="B24" s="2" t="s">
        <v>307</v>
      </c>
      <c r="C24" s="3">
        <v>46037</v>
      </c>
      <c r="D24" s="4">
        <v>1.55</v>
      </c>
      <c r="E24" s="4">
        <v>1.2628175008</v>
      </c>
      <c r="F24" s="4">
        <v>1.1995647342</v>
      </c>
      <c r="G24" s="4">
        <v>0.55292834179999995</v>
      </c>
      <c r="H24" s="5">
        <f>[1]!s_val_mv_ref(A24,C24-1,100000000)</f>
        <v>192.83363506000001</v>
      </c>
    </row>
    <row r="25" spans="1:8" s="11" customFormat="1" x14ac:dyDescent="0.2">
      <c r="A25" s="2" t="s">
        <v>308</v>
      </c>
      <c r="B25" s="2" t="s">
        <v>309</v>
      </c>
      <c r="C25" s="3">
        <v>46037</v>
      </c>
      <c r="D25" s="4">
        <v>-0.33139999999999997</v>
      </c>
      <c r="E25" s="4">
        <v>-0.1334067457</v>
      </c>
      <c r="F25" s="4">
        <v>-0.38831003289999999</v>
      </c>
      <c r="G25" s="4">
        <v>-0.18978346130000001</v>
      </c>
      <c r="H25" s="5">
        <f>[1]!s_val_mv_ref(A25,C25-1,100000000)</f>
        <v>44.111888880000002</v>
      </c>
    </row>
    <row r="26" spans="1:8" s="11" customFormat="1" x14ac:dyDescent="0.2">
      <c r="A26" s="2" t="s">
        <v>310</v>
      </c>
      <c r="B26" s="2" t="s">
        <v>311</v>
      </c>
      <c r="C26" s="3">
        <v>46037</v>
      </c>
      <c r="D26" s="4">
        <v>5.24</v>
      </c>
      <c r="E26" s="4">
        <v>4.5696544967000001</v>
      </c>
      <c r="F26" s="4">
        <v>1.0465664741</v>
      </c>
      <c r="G26" s="4">
        <v>1.8925364823999999</v>
      </c>
      <c r="H26" s="5">
        <f>[1]!s_val_mv_ref(A26,C26-1,100000000)</f>
        <v>134.22837869</v>
      </c>
    </row>
    <row r="27" spans="1:8" s="11" customFormat="1" x14ac:dyDescent="0.2">
      <c r="A27" s="2" t="s">
        <v>312</v>
      </c>
      <c r="B27" s="2" t="s">
        <v>313</v>
      </c>
      <c r="C27" s="3">
        <v>46037</v>
      </c>
      <c r="D27" s="4">
        <v>-0.53</v>
      </c>
      <c r="E27" s="4">
        <v>-0.37953670950000001</v>
      </c>
      <c r="F27" s="4">
        <v>0.16397496010000001</v>
      </c>
      <c r="G27" s="4">
        <v>-0.1881936696</v>
      </c>
      <c r="H27" s="5">
        <f>[1]!s_val_mv_ref(A27,C27-1,100000000)</f>
        <v>42.768000000000001</v>
      </c>
    </row>
    <row r="28" spans="1:8" s="11" customFormat="1" x14ac:dyDescent="0.2">
      <c r="A28" s="2" t="s">
        <v>314</v>
      </c>
      <c r="B28" s="2" t="s">
        <v>315</v>
      </c>
      <c r="C28" s="3">
        <v>46037</v>
      </c>
      <c r="D28" s="2"/>
      <c r="E28" s="4">
        <v>-0.81984651669999997</v>
      </c>
      <c r="F28" s="4">
        <v>-1.3649306188000001</v>
      </c>
      <c r="G28" s="4">
        <v>-0.46103782900000001</v>
      </c>
      <c r="H28" s="5">
        <f>[1]!s_val_mv_ref(A28,C28-1,100000000)</f>
        <v>23.633570420000002</v>
      </c>
    </row>
    <row r="29" spans="1:8" s="11" customFormat="1" x14ac:dyDescent="0.2">
      <c r="A29" s="2" t="s">
        <v>316</v>
      </c>
      <c r="B29" s="2" t="s">
        <v>317</v>
      </c>
      <c r="C29" s="3">
        <v>46037</v>
      </c>
      <c r="D29" s="2"/>
      <c r="E29" s="4">
        <v>-3.4884291093000002</v>
      </c>
      <c r="F29" s="4">
        <v>-9.7169359218999993</v>
      </c>
      <c r="G29" s="4">
        <v>-1.2406717884</v>
      </c>
      <c r="H29" s="5">
        <f>[1]!s_val_mv_ref(A29,C29-1,100000000)</f>
        <v>46.325164309999998</v>
      </c>
    </row>
    <row r="30" spans="1:8" s="11" customFormat="1" x14ac:dyDescent="0.2">
      <c r="A30" s="2" t="s">
        <v>318</v>
      </c>
      <c r="B30" s="2" t="s">
        <v>319</v>
      </c>
      <c r="C30" s="3">
        <v>46037</v>
      </c>
      <c r="D30" s="2"/>
      <c r="E30" s="4">
        <v>-3.8582241370000001</v>
      </c>
      <c r="F30" s="4">
        <v>-11.8718299719</v>
      </c>
      <c r="G30" s="4">
        <v>-1.3358288582</v>
      </c>
      <c r="H30" s="5">
        <f>[1]!s_val_mv_ref(A30,C30-1,100000000)</f>
        <v>116.26860809999999</v>
      </c>
    </row>
    <row r="31" spans="1:8" s="11" customFormat="1" x14ac:dyDescent="0.2">
      <c r="A31" s="2" t="s">
        <v>320</v>
      </c>
      <c r="B31" s="2" t="s">
        <v>321</v>
      </c>
      <c r="C31" s="3">
        <v>46037</v>
      </c>
      <c r="D31" s="4">
        <v>-18</v>
      </c>
      <c r="E31" s="4">
        <v>-8.2344220000000004</v>
      </c>
      <c r="F31" s="4">
        <v>-5.9844660000000003</v>
      </c>
      <c r="G31" s="4">
        <v>-3.4240789999999999</v>
      </c>
      <c r="H31" s="5">
        <f>[1]!s_val_mv_ref(A31,C31-1,100000000)</f>
        <v>752.88432893000004</v>
      </c>
    </row>
    <row r="32" spans="1:8" s="11" customFormat="1" x14ac:dyDescent="0.2">
      <c r="A32" s="2" t="s">
        <v>322</v>
      </c>
      <c r="B32" s="2" t="s">
        <v>323</v>
      </c>
      <c r="C32" s="3">
        <v>46037</v>
      </c>
      <c r="D32" s="2"/>
      <c r="E32" s="4">
        <v>-45.432359944300003</v>
      </c>
      <c r="F32" s="4">
        <v>-14.087188619899999</v>
      </c>
      <c r="G32" s="4">
        <v>-13.6779760264</v>
      </c>
      <c r="H32" s="5">
        <f>[1]!s_val_mv_ref(A32,C32-1,100000000)</f>
        <v>616.32054760999995</v>
      </c>
    </row>
    <row r="33" spans="1:8" s="11" customFormat="1" x14ac:dyDescent="0.2">
      <c r="A33" s="2" t="s">
        <v>324</v>
      </c>
      <c r="B33" s="2" t="s">
        <v>325</v>
      </c>
      <c r="C33" s="3">
        <v>46037</v>
      </c>
      <c r="D33" s="2"/>
      <c r="E33" s="4">
        <v>-10.940163999999999</v>
      </c>
      <c r="F33" s="4">
        <v>-14.611705000000001</v>
      </c>
      <c r="G33" s="4">
        <v>0.60081899999999999</v>
      </c>
      <c r="H33" s="5">
        <f>[1]!s_val_mv_ref(A33,C33-1,100000000)</f>
        <v>560.54225568000004</v>
      </c>
    </row>
    <row r="34" spans="1:8" s="11" customFormat="1" x14ac:dyDescent="0.2">
      <c r="A34" s="2" t="s">
        <v>326</v>
      </c>
      <c r="B34" s="2" t="s">
        <v>327</v>
      </c>
      <c r="C34" s="3">
        <v>46037</v>
      </c>
      <c r="D34" s="4">
        <v>-1.25</v>
      </c>
      <c r="E34" s="4">
        <v>-0.71384329940000002</v>
      </c>
      <c r="F34" s="4">
        <v>-0.2824998621</v>
      </c>
      <c r="G34" s="4">
        <v>-0.10174143200000001</v>
      </c>
      <c r="H34" s="5">
        <f>[1]!s_val_mv_ref(A34,C34-1,100000000)</f>
        <v>18.950399999999998</v>
      </c>
    </row>
    <row r="35" spans="1:8" s="11" customFormat="1" x14ac:dyDescent="0.2">
      <c r="A35" s="2" t="s">
        <v>328</v>
      </c>
      <c r="B35" s="2" t="s">
        <v>329</v>
      </c>
      <c r="C35" s="3">
        <v>46037</v>
      </c>
      <c r="D35" s="2"/>
      <c r="E35" s="4">
        <v>-14.030245000000001</v>
      </c>
      <c r="F35" s="4">
        <v>-7.6853369999999996</v>
      </c>
      <c r="G35" s="4">
        <v>-5.4017759999999999</v>
      </c>
      <c r="H35" s="5">
        <f>[1]!s_val_mv_ref(A35,C35-1,100000000)</f>
        <v>378.37859092999997</v>
      </c>
    </row>
    <row r="36" spans="1:8" s="11" customFormat="1" x14ac:dyDescent="0.2">
      <c r="A36" s="2" t="s">
        <v>330</v>
      </c>
      <c r="B36" s="2" t="s">
        <v>331</v>
      </c>
      <c r="C36" s="3">
        <v>46037</v>
      </c>
      <c r="D36" s="2"/>
      <c r="E36" s="4">
        <v>-9.3170319940000006</v>
      </c>
      <c r="F36" s="4">
        <v>-3.0931845764000001</v>
      </c>
      <c r="G36" s="4">
        <v>-1.6195061194</v>
      </c>
      <c r="H36" s="5">
        <f>[1]!s_val_mv_ref(A36,C36-1,100000000)</f>
        <v>279.38249088999999</v>
      </c>
    </row>
    <row r="37" spans="1:8" s="11" customFormat="1" x14ac:dyDescent="0.2">
      <c r="A37" s="2" t="s">
        <v>332</v>
      </c>
      <c r="B37" s="2" t="s">
        <v>333</v>
      </c>
      <c r="C37" s="3">
        <v>46037</v>
      </c>
      <c r="D37" s="2"/>
      <c r="E37" s="4">
        <v>-3.1467352109000002</v>
      </c>
      <c r="F37" s="4">
        <v>-6.688083067</v>
      </c>
      <c r="G37" s="4">
        <v>-1.1562235104</v>
      </c>
      <c r="H37" s="5">
        <f>[1]!s_val_mv_ref(A37,C37-1,100000000)</f>
        <v>63.994791659999997</v>
      </c>
    </row>
    <row r="38" spans="1:8" s="11" customFormat="1" x14ac:dyDescent="0.2">
      <c r="A38" s="2" t="s">
        <v>334</v>
      </c>
      <c r="B38" s="2" t="s">
        <v>335</v>
      </c>
      <c r="C38" s="3">
        <v>46037</v>
      </c>
      <c r="D38" s="2"/>
      <c r="E38" s="4">
        <v>-43.147691006000002</v>
      </c>
      <c r="F38" s="4">
        <v>-41.6189440805</v>
      </c>
      <c r="G38" s="4">
        <v>-13.591151999499999</v>
      </c>
      <c r="H38" s="5">
        <f>[1]!s_val_mv_ref(A38,C38-1,100000000)</f>
        <v>448.60171187000009</v>
      </c>
    </row>
    <row r="39" spans="1:8" x14ac:dyDescent="0.2">
      <c r="A39" s="2" t="s">
        <v>228</v>
      </c>
      <c r="B39" s="2" t="s">
        <v>229</v>
      </c>
      <c r="C39" s="3">
        <v>46036</v>
      </c>
      <c r="D39" s="4">
        <v>28.9</v>
      </c>
      <c r="E39" s="4">
        <v>24.288641200000001</v>
      </c>
      <c r="F39" s="4">
        <v>-4.3031222700000002</v>
      </c>
      <c r="G39" s="4">
        <v>8.7012867200000006</v>
      </c>
      <c r="H39" s="5">
        <f>[1]!s_val_mv_ref(A39,C39-1,100000000)</f>
        <v>990.12105248</v>
      </c>
    </row>
    <row r="40" spans="1:8" x14ac:dyDescent="0.2">
      <c r="A40" s="2" t="s">
        <v>230</v>
      </c>
      <c r="B40" s="2" t="s">
        <v>231</v>
      </c>
      <c r="C40" s="3">
        <v>46036</v>
      </c>
      <c r="D40" s="4">
        <v>3.1</v>
      </c>
      <c r="E40" s="4">
        <v>3.9378255279999999</v>
      </c>
      <c r="F40" s="4">
        <v>1.1417489086999999</v>
      </c>
      <c r="G40" s="4">
        <v>0.88892830629999997</v>
      </c>
      <c r="H40" s="5">
        <f>[1]!s_val_mv_ref(A40,C40-1,100000000)</f>
        <v>298.80980502999995</v>
      </c>
    </row>
    <row r="41" spans="1:8" x14ac:dyDescent="0.2">
      <c r="A41" s="2" t="s">
        <v>232</v>
      </c>
      <c r="B41" s="2" t="s">
        <v>233</v>
      </c>
      <c r="C41" s="3">
        <v>46036</v>
      </c>
      <c r="D41" s="4">
        <v>1.8</v>
      </c>
      <c r="E41" s="4">
        <v>1.6194857614</v>
      </c>
      <c r="F41" s="4">
        <v>0.13204302409999999</v>
      </c>
      <c r="G41" s="4">
        <v>0.82108826430000004</v>
      </c>
      <c r="H41" s="5">
        <f>[1]!s_val_mv_ref(A41,C41-1,100000000)</f>
        <v>69.500408789999994</v>
      </c>
    </row>
    <row r="42" spans="1:8" x14ac:dyDescent="0.2">
      <c r="A42" s="2" t="s">
        <v>234</v>
      </c>
      <c r="B42" s="2" t="s">
        <v>235</v>
      </c>
      <c r="C42" s="3">
        <v>46036</v>
      </c>
      <c r="D42" s="4">
        <v>0.75</v>
      </c>
      <c r="E42" s="4">
        <v>0.61271092159999996</v>
      </c>
      <c r="F42" s="4">
        <v>0.13059126909999999</v>
      </c>
      <c r="G42" s="4">
        <v>0.18535627439999999</v>
      </c>
      <c r="H42" s="5">
        <f>[1]!s_val_mv_ref(A42,C42-1,100000000)</f>
        <v>41.385928319999998</v>
      </c>
    </row>
    <row r="43" spans="1:8" x14ac:dyDescent="0.2">
      <c r="A43" s="2" t="s">
        <v>236</v>
      </c>
      <c r="B43" s="2" t="s">
        <v>237</v>
      </c>
      <c r="C43" s="3">
        <v>46036</v>
      </c>
      <c r="D43" s="4">
        <v>-7.5</v>
      </c>
      <c r="E43" s="4">
        <v>-8.3563648827999994</v>
      </c>
      <c r="F43" s="4">
        <v>-3.1007179609</v>
      </c>
      <c r="G43" s="4">
        <v>0.58476517039999998</v>
      </c>
      <c r="H43" s="5">
        <f>[1]!s_val_mv_ref(A43,C43-1,100000000)</f>
        <v>343.32673139000002</v>
      </c>
    </row>
    <row r="44" spans="1:8" x14ac:dyDescent="0.2">
      <c r="A44" s="2" t="s">
        <v>238</v>
      </c>
      <c r="B44" s="2" t="s">
        <v>239</v>
      </c>
      <c r="C44" s="3">
        <v>46036</v>
      </c>
      <c r="D44" s="4">
        <v>1.206896</v>
      </c>
      <c r="E44" s="4">
        <v>0.30379870120000002</v>
      </c>
      <c r="F44" s="4">
        <v>0.15606625260000001</v>
      </c>
      <c r="G44" s="4">
        <v>1.8525771199999999E-2</v>
      </c>
      <c r="H44" s="5">
        <f>[1]!s_val_mv_ref(A44,C44-1,100000000)</f>
        <v>36.439411669999998</v>
      </c>
    </row>
    <row r="45" spans="1:8" x14ac:dyDescent="0.2">
      <c r="A45" s="2" t="s">
        <v>240</v>
      </c>
      <c r="B45" s="2" t="s">
        <v>241</v>
      </c>
      <c r="C45" s="3">
        <v>46036</v>
      </c>
      <c r="D45" s="4">
        <v>-1.325</v>
      </c>
      <c r="E45" s="4">
        <v>-1.0141671237000001</v>
      </c>
      <c r="F45" s="4">
        <v>-0.24547477400000001</v>
      </c>
      <c r="G45" s="4">
        <v>-0.40625003339999999</v>
      </c>
      <c r="H45" s="5">
        <f>[1]!s_val_mv_ref(A45,C45-1,100000000)</f>
        <v>65.843544780000002</v>
      </c>
    </row>
    <row r="46" spans="1:8" x14ac:dyDescent="0.2">
      <c r="A46" s="2" t="s">
        <v>242</v>
      </c>
      <c r="B46" s="2" t="s">
        <v>243</v>
      </c>
      <c r="C46" s="3">
        <v>46036</v>
      </c>
      <c r="D46" s="4">
        <v>-16.840699999999998</v>
      </c>
      <c r="E46" s="4">
        <v>-8.4792208487000007</v>
      </c>
      <c r="F46" s="4">
        <v>-3.2989117572</v>
      </c>
      <c r="G46" s="4">
        <v>-2.7173172479000001</v>
      </c>
      <c r="H46" s="5">
        <f>[1]!s_val_mv_ref(A46,C46-1,100000000)</f>
        <v>61.836844229999997</v>
      </c>
    </row>
    <row r="47" spans="1:8" x14ac:dyDescent="0.2">
      <c r="A47" s="2" t="s">
        <v>244</v>
      </c>
      <c r="B47" s="2" t="s">
        <v>245</v>
      </c>
      <c r="C47" s="3">
        <v>46036</v>
      </c>
      <c r="D47" s="4">
        <v>-15.4</v>
      </c>
      <c r="E47" s="4">
        <v>-14.80153425</v>
      </c>
      <c r="F47" s="4">
        <v>-5.5387866199999998</v>
      </c>
      <c r="G47" s="4">
        <v>-4.6906146099999999</v>
      </c>
      <c r="H47" s="5">
        <f>[1]!s_val_mv_ref(A47,C47-1,100000000)</f>
        <v>590.45715228000006</v>
      </c>
    </row>
    <row r="48" spans="1:8" x14ac:dyDescent="0.2">
      <c r="A48" s="2" t="s">
        <v>246</v>
      </c>
      <c r="B48" s="2" t="s">
        <v>247</v>
      </c>
      <c r="C48" s="3">
        <v>46036</v>
      </c>
      <c r="D48" s="2"/>
      <c r="E48" s="4">
        <v>-2.1634354667000002</v>
      </c>
      <c r="F48" s="4">
        <v>-1.6034919300999999</v>
      </c>
      <c r="G48" s="4">
        <v>-0.85534100449999995</v>
      </c>
      <c r="H48" s="5">
        <f>[1]!s_val_mv_ref(A48,C48-1,100000000)</f>
        <v>84.542119999999997</v>
      </c>
    </row>
    <row r="49" spans="1:8" x14ac:dyDescent="0.2">
      <c r="A49" s="2" t="s">
        <v>248</v>
      </c>
      <c r="B49" s="2" t="s">
        <v>249</v>
      </c>
      <c r="C49" s="3">
        <v>46036</v>
      </c>
      <c r="D49" s="4">
        <v>-12.2</v>
      </c>
      <c r="E49" s="4">
        <v>-8.0557984120999997</v>
      </c>
      <c r="F49" s="4">
        <v>-4.8341474993000002</v>
      </c>
      <c r="G49" s="4">
        <v>-2.8504056822999999</v>
      </c>
      <c r="H49" s="5">
        <f>[1]!s_val_mv_ref(A49,C49-1,100000000)</f>
        <v>80.88290649999999</v>
      </c>
    </row>
    <row r="50" spans="1:8" x14ac:dyDescent="0.2">
      <c r="A50" s="2" t="s">
        <v>250</v>
      </c>
      <c r="B50" s="2" t="s">
        <v>251</v>
      </c>
      <c r="C50" s="3">
        <v>46036</v>
      </c>
      <c r="D50" s="4">
        <v>-1.6</v>
      </c>
      <c r="E50" s="4">
        <v>-0.78165702189999997</v>
      </c>
      <c r="F50" s="4">
        <v>-0.69642882169999998</v>
      </c>
      <c r="G50" s="4">
        <v>-0.1472084471</v>
      </c>
      <c r="H50" s="5">
        <f>[1]!s_val_mv_ref(A50,C50-1,100000000)</f>
        <v>77.349967340000006</v>
      </c>
    </row>
    <row r="51" spans="1:8" x14ac:dyDescent="0.2">
      <c r="A51" s="2" t="s">
        <v>252</v>
      </c>
      <c r="B51" s="2" t="s">
        <v>253</v>
      </c>
      <c r="C51" s="3">
        <v>46036</v>
      </c>
      <c r="D51" s="2"/>
      <c r="E51" s="4">
        <v>-0.84249682130000003</v>
      </c>
      <c r="F51" s="4">
        <v>-3.1598901450999999</v>
      </c>
      <c r="G51" s="4">
        <v>0.13713114879999999</v>
      </c>
      <c r="H51" s="5">
        <f>[1]!s_val_mv_ref(A51,C51-1,100000000)</f>
        <v>169.92313526999999</v>
      </c>
    </row>
    <row r="52" spans="1:8" x14ac:dyDescent="0.2">
      <c r="A52" s="2" t="s">
        <v>254</v>
      </c>
      <c r="B52" s="2" t="s">
        <v>255</v>
      </c>
      <c r="C52" s="3">
        <v>46036</v>
      </c>
      <c r="D52" s="2"/>
      <c r="E52" s="4">
        <v>-0.79554767699999995</v>
      </c>
      <c r="F52" s="4">
        <v>-0.1272497101</v>
      </c>
      <c r="G52" s="4">
        <v>-0.46958460340000002</v>
      </c>
      <c r="H52" s="5">
        <f>[1]!s_val_mv_ref(A52,C52-1,100000000)</f>
        <v>41.220063419999995</v>
      </c>
    </row>
    <row r="53" spans="1:8" x14ac:dyDescent="0.2">
      <c r="A53" s="2" t="s">
        <v>256</v>
      </c>
      <c r="B53" s="2" t="s">
        <v>257</v>
      </c>
      <c r="C53" s="3">
        <v>46036</v>
      </c>
      <c r="D53" s="2"/>
      <c r="E53" s="4">
        <v>-0.67311757989999998</v>
      </c>
      <c r="F53" s="4">
        <v>-0.12616506350000001</v>
      </c>
      <c r="G53" s="4">
        <v>-0.3267032352</v>
      </c>
      <c r="H53" s="5">
        <f>[1]!s_val_mv_ref(A53,C53-1,100000000)</f>
        <v>43.15092233</v>
      </c>
    </row>
    <row r="54" spans="1:8" x14ac:dyDescent="0.2">
      <c r="A54" s="2" t="s">
        <v>258</v>
      </c>
      <c r="B54" s="2" t="s">
        <v>259</v>
      </c>
      <c r="C54" s="3">
        <v>46036</v>
      </c>
      <c r="D54" s="4">
        <v>41.2</v>
      </c>
      <c r="E54" s="4">
        <v>35.398527687200001</v>
      </c>
      <c r="F54" s="4">
        <v>5.9901777368999998</v>
      </c>
      <c r="G54" s="4">
        <v>12.693894849499999</v>
      </c>
      <c r="H54" s="5">
        <f>[1]!s_val_mv_ref(A54,C54-1,100000000)</f>
        <v>1417.6074392999999</v>
      </c>
    </row>
    <row r="55" spans="1:8" x14ac:dyDescent="0.2">
      <c r="A55" s="2" t="s">
        <v>260</v>
      </c>
      <c r="B55" s="2" t="s">
        <v>261</v>
      </c>
      <c r="C55" s="3">
        <v>46036</v>
      </c>
      <c r="D55" s="4">
        <v>7.6</v>
      </c>
      <c r="E55" s="4">
        <v>-0.1836034939</v>
      </c>
      <c r="F55" s="4">
        <v>-1.5756458783</v>
      </c>
      <c r="G55" s="4">
        <v>2.1330592088999998</v>
      </c>
      <c r="H55" s="5">
        <f>[1]!s_val_mv_ref(A55,C55-1,100000000)</f>
        <v>632.40290900000002</v>
      </c>
    </row>
    <row r="56" spans="1:8" x14ac:dyDescent="0.2">
      <c r="A56" s="6" t="s">
        <v>7</v>
      </c>
      <c r="B56" s="9" t="str">
        <f>[1]!WSS(A56:A165,"s_info_name","WssConvert=0","showcodes=N","cols=1;rows=110")</f>
        <v>藏格矿业</v>
      </c>
      <c r="C56" s="7">
        <f>[1]!WSS(A56:A166,"s_profitnotice_firstdate","rptDate=20251231","WssConvert=0","showcodes=N","cols=1;rows=110")</f>
        <v>46035</v>
      </c>
      <c r="D56" s="9">
        <f>[1]!WSS(A56:A166,"s_profitnotice_deductedprofitmin","rptDate=20251231","WssConvert=0","WssDivide=8","showcodes=N","cols=1;rows=110")</f>
        <v>38.700000000000003</v>
      </c>
      <c r="E56" s="9">
        <f>[1]!WSS(A56:A166,"s_fa_deductedprofit_1","rptDate=20250930","rptType=1","WssConvert=0","WssDivide=8","showcodes=N","cols=1;rows=110")</f>
        <v>27.563974564699997</v>
      </c>
      <c r="F56" s="9">
        <f>[1]!WSS(A56:A166,"s_qfa_deductedprofit","rptDate=20241231","WssConvert=0","WssDivide=8","showcodes=N","cols=1;rows=110")</f>
        <v>7.0039699302000002</v>
      </c>
      <c r="G56" s="9">
        <f>[1]!WSS(A56:A166,"s_qfa_deductedprofit","rptDate=20250930","WssConvert=0","WssDivide=8","showcodes=N","cols=1;rows=110")</f>
        <v>9.4799946900999998</v>
      </c>
      <c r="H56" s="5">
        <f>[1]!s_val_mv_ref(A56,C56-1,100000000)</f>
        <v>1341.1298088000001</v>
      </c>
    </row>
    <row r="57" spans="1:8" x14ac:dyDescent="0.2">
      <c r="A57" s="6" t="s">
        <v>8</v>
      </c>
      <c r="B57" s="9" t="s">
        <v>9</v>
      </c>
      <c r="C57" s="7">
        <v>46035</v>
      </c>
      <c r="D57" s="9"/>
      <c r="E57" s="9">
        <v>0.28102429170000004</v>
      </c>
      <c r="F57" s="9">
        <v>-0.85304285489999998</v>
      </c>
      <c r="G57" s="9">
        <v>0.15135401199999998</v>
      </c>
      <c r="H57" s="5">
        <f>[1]!s_val_mv_ref(A57,C57-1,100000000)</f>
        <v>298.07379164000002</v>
      </c>
    </row>
    <row r="58" spans="1:8" x14ac:dyDescent="0.2">
      <c r="A58" s="6" t="s">
        <v>10</v>
      </c>
      <c r="B58" s="9" t="s">
        <v>11</v>
      </c>
      <c r="C58" s="7">
        <v>46035</v>
      </c>
      <c r="D58" s="9"/>
      <c r="E58" s="9">
        <v>-1.5364024454</v>
      </c>
      <c r="F58" s="9">
        <v>0.88145443340000007</v>
      </c>
      <c r="G58" s="9">
        <v>0.47511992079999998</v>
      </c>
      <c r="H58" s="5">
        <f>[1]!s_val_mv_ref(A58,C58-1,100000000)</f>
        <v>337.26140677000001</v>
      </c>
    </row>
    <row r="59" spans="1:8" x14ac:dyDescent="0.2">
      <c r="A59" s="6" t="s">
        <v>12</v>
      </c>
      <c r="B59" s="9" t="s">
        <v>13</v>
      </c>
      <c r="C59" s="7">
        <v>46035</v>
      </c>
      <c r="D59" s="9">
        <v>4.2195</v>
      </c>
      <c r="E59" s="9">
        <v>2.9008808267000004</v>
      </c>
      <c r="F59" s="9">
        <v>0.54358350189999993</v>
      </c>
      <c r="G59" s="9">
        <v>1.0751027317000001</v>
      </c>
      <c r="H59" s="5">
        <f>[1]!s_val_mv_ref(A59,C59-1,100000000)</f>
        <v>114.78228404000002</v>
      </c>
    </row>
    <row r="60" spans="1:8" x14ac:dyDescent="0.2">
      <c r="A60" s="6" t="s">
        <v>14</v>
      </c>
      <c r="B60" s="9" t="s">
        <v>15</v>
      </c>
      <c r="C60" s="7">
        <v>46035</v>
      </c>
      <c r="D60" s="9">
        <v>4.2133010000000004</v>
      </c>
      <c r="E60" s="9">
        <v>3.1403377055999999</v>
      </c>
      <c r="F60" s="9">
        <v>-1.2290784552</v>
      </c>
      <c r="G60" s="9">
        <v>-0.15475785850000001</v>
      </c>
      <c r="H60" s="5">
        <f>[1]!s_val_mv_ref(A60,C60-1,100000000)</f>
        <v>110.88638582999999</v>
      </c>
    </row>
    <row r="61" spans="1:8" x14ac:dyDescent="0.2">
      <c r="A61" s="6" t="s">
        <v>16</v>
      </c>
      <c r="B61" s="9" t="s">
        <v>17</v>
      </c>
      <c r="C61" s="7">
        <v>46035</v>
      </c>
      <c r="D61" s="9">
        <v>-51</v>
      </c>
      <c r="E61" s="9">
        <v>-34.525632077800005</v>
      </c>
      <c r="F61" s="9">
        <v>-36.7445804591</v>
      </c>
      <c r="G61" s="9">
        <v>-11.6596997133</v>
      </c>
      <c r="H61" s="5">
        <f>[1]!s_val_mv_ref(A61,C61-1,100000000)</f>
        <v>403.11994992000001</v>
      </c>
    </row>
    <row r="62" spans="1:8" x14ac:dyDescent="0.2">
      <c r="A62" s="6" t="s">
        <v>18</v>
      </c>
      <c r="B62" s="9" t="s">
        <v>19</v>
      </c>
      <c r="C62" s="7">
        <v>46035</v>
      </c>
      <c r="D62" s="9">
        <v>0.68</v>
      </c>
      <c r="E62" s="9">
        <v>0.89244067810000005</v>
      </c>
      <c r="F62" s="9">
        <v>-0.21117929530000001</v>
      </c>
      <c r="G62" s="9">
        <v>9.3826744700000006E-2</v>
      </c>
      <c r="H62" s="5">
        <f>[1]!s_val_mv_ref(A62,C62-1,100000000)</f>
        <v>31.65474558</v>
      </c>
    </row>
    <row r="63" spans="1:8" x14ac:dyDescent="0.2">
      <c r="A63" s="6" t="s">
        <v>20</v>
      </c>
      <c r="B63" s="9" t="s">
        <v>21</v>
      </c>
      <c r="C63" s="7">
        <v>46035</v>
      </c>
      <c r="D63" s="9">
        <v>-3.36</v>
      </c>
      <c r="E63" s="9">
        <v>-2.0528624364999999</v>
      </c>
      <c r="F63" s="9">
        <v>-0.50828267500000002</v>
      </c>
      <c r="G63" s="9">
        <v>-0.53874173520000002</v>
      </c>
      <c r="H63" s="5">
        <f>[1]!s_val_mv_ref(A63,C63-1,100000000)</f>
        <v>453.31086599000002</v>
      </c>
    </row>
    <row r="64" spans="1:8" x14ac:dyDescent="0.2">
      <c r="A64" s="6" t="s">
        <v>22</v>
      </c>
      <c r="B64" s="9" t="s">
        <v>23</v>
      </c>
      <c r="C64" s="7">
        <v>46035</v>
      </c>
      <c r="D64" s="9">
        <v>2.8000000000000003</v>
      </c>
      <c r="E64" s="9">
        <v>2.5132988863999999</v>
      </c>
      <c r="F64" s="9">
        <v>0.37832486719999997</v>
      </c>
      <c r="G64" s="9">
        <v>0.89927547720000001</v>
      </c>
      <c r="H64" s="5">
        <f>[1]!s_val_mv_ref(A64,C64-1,100000000)</f>
        <v>115.65541059</v>
      </c>
    </row>
    <row r="65" spans="1:8" x14ac:dyDescent="0.2">
      <c r="A65" s="6" t="s">
        <v>24</v>
      </c>
      <c r="B65" s="9" t="s">
        <v>25</v>
      </c>
      <c r="C65" s="7">
        <v>46035</v>
      </c>
      <c r="D65" s="9"/>
      <c r="E65" s="9">
        <v>-3.8411718064999998</v>
      </c>
      <c r="F65" s="9">
        <v>-0.43373198359999998</v>
      </c>
      <c r="G65" s="9">
        <v>-9.8216919299999997E-2</v>
      </c>
      <c r="H65" s="5">
        <f>[1]!s_val_mv_ref(A65,C65-1,100000000)</f>
        <v>69.289923529999996</v>
      </c>
    </row>
    <row r="66" spans="1:8" x14ac:dyDescent="0.2">
      <c r="A66" s="6" t="s">
        <v>26</v>
      </c>
      <c r="B66" s="9" t="s">
        <v>27</v>
      </c>
      <c r="C66" s="7">
        <v>46035</v>
      </c>
      <c r="D66" s="9"/>
      <c r="E66" s="9">
        <v>-1.5360187430000001</v>
      </c>
      <c r="F66" s="9">
        <v>-0.42489767950000001</v>
      </c>
      <c r="G66" s="9">
        <v>-1.0353580854000002</v>
      </c>
      <c r="H66" s="5">
        <f>[1]!s_val_mv_ref(A66,C66-1,100000000)</f>
        <v>41.711573819999998</v>
      </c>
    </row>
    <row r="67" spans="1:8" x14ac:dyDescent="0.2">
      <c r="A67" s="6" t="s">
        <v>28</v>
      </c>
      <c r="B67" s="9" t="s">
        <v>29</v>
      </c>
      <c r="C67" s="7">
        <v>46035</v>
      </c>
      <c r="D67" s="9"/>
      <c r="E67" s="9">
        <v>-0.48035124659999995</v>
      </c>
      <c r="F67" s="9">
        <v>-1.3131533602000001</v>
      </c>
      <c r="G67" s="9">
        <v>-0.41312645070000004</v>
      </c>
      <c r="H67" s="5">
        <f>[1]!s_val_mv_ref(A67,C67-1,100000000)</f>
        <v>49.872397630000002</v>
      </c>
    </row>
    <row r="68" spans="1:8" x14ac:dyDescent="0.2">
      <c r="A68" s="6" t="s">
        <v>30</v>
      </c>
      <c r="B68" s="9" t="s">
        <v>31</v>
      </c>
      <c r="C68" s="7">
        <v>46035</v>
      </c>
      <c r="D68" s="9"/>
      <c r="E68" s="9">
        <v>-4.5821705570999995</v>
      </c>
      <c r="F68" s="9">
        <v>-1.0231137198</v>
      </c>
      <c r="G68" s="9">
        <v>-1.7953530743000001</v>
      </c>
      <c r="H68" s="5">
        <f>[1]!s_val_mv_ref(A68,C68-1,100000000)</f>
        <v>101.70325441</v>
      </c>
    </row>
    <row r="69" spans="1:8" x14ac:dyDescent="0.2">
      <c r="A69" s="6" t="s">
        <v>32</v>
      </c>
      <c r="B69" s="9" t="s">
        <v>33</v>
      </c>
      <c r="C69" s="7">
        <v>46035</v>
      </c>
      <c r="D69" s="9"/>
      <c r="E69" s="9">
        <v>8.7893675300000002E-2</v>
      </c>
      <c r="F69" s="9">
        <v>-7.7736112572000007</v>
      </c>
      <c r="G69" s="9">
        <v>-0.52779523130000006</v>
      </c>
      <c r="H69" s="5">
        <f>[1]!s_val_mv_ref(A69,C69-1,100000000)</f>
        <v>27.93</v>
      </c>
    </row>
    <row r="70" spans="1:8" x14ac:dyDescent="0.2">
      <c r="A70" s="6" t="s">
        <v>34</v>
      </c>
      <c r="B70" s="9" t="s">
        <v>35</v>
      </c>
      <c r="C70" s="7">
        <v>46035</v>
      </c>
      <c r="D70" s="9"/>
      <c r="E70" s="9">
        <v>-0.84450585590000005</v>
      </c>
      <c r="F70" s="9">
        <v>-1.435418361</v>
      </c>
      <c r="G70" s="9">
        <v>-0.53387600759999998</v>
      </c>
      <c r="H70" s="5">
        <f>[1]!s_val_mv_ref(A70,C70-1,100000000)</f>
        <v>32.944179840000004</v>
      </c>
    </row>
    <row r="71" spans="1:8" x14ac:dyDescent="0.2">
      <c r="A71" s="6" t="s">
        <v>36</v>
      </c>
      <c r="B71" s="9" t="s">
        <v>37</v>
      </c>
      <c r="C71" s="7">
        <v>46035</v>
      </c>
      <c r="D71" s="9"/>
      <c r="E71" s="9">
        <v>-0.66962356630000008</v>
      </c>
      <c r="F71" s="9">
        <v>-0.89906604840000004</v>
      </c>
      <c r="G71" s="9">
        <v>-0.25625363610000002</v>
      </c>
      <c r="H71" s="5">
        <f>[1]!s_val_mv_ref(A71,C71-1,100000000)</f>
        <v>10.703021789999999</v>
      </c>
    </row>
    <row r="72" spans="1:8" x14ac:dyDescent="0.2">
      <c r="A72" s="6" t="s">
        <v>38</v>
      </c>
      <c r="B72" s="9" t="s">
        <v>39</v>
      </c>
      <c r="C72" s="7">
        <v>46035</v>
      </c>
      <c r="D72" s="9">
        <v>-8.5</v>
      </c>
      <c r="E72" s="9">
        <v>-3.2895627244000001</v>
      </c>
      <c r="F72" s="9">
        <v>-1.5983405349000002</v>
      </c>
      <c r="G72" s="9">
        <v>-2.2860736594</v>
      </c>
      <c r="H72" s="5">
        <f>[1]!s_val_mv_ref(A72,C72-1,100000000)</f>
        <v>788.26495886999999</v>
      </c>
    </row>
    <row r="73" spans="1:8" x14ac:dyDescent="0.2">
      <c r="A73" s="6" t="s">
        <v>40</v>
      </c>
      <c r="B73" s="9" t="s">
        <v>41</v>
      </c>
      <c r="C73" s="7">
        <v>46035</v>
      </c>
      <c r="D73" s="9"/>
      <c r="E73" s="9">
        <v>-1.9996816181999999</v>
      </c>
      <c r="F73" s="9">
        <v>-2.1708043587999999</v>
      </c>
      <c r="G73" s="9">
        <v>-1.0922259976000002</v>
      </c>
      <c r="H73" s="5">
        <f>[1]!s_val_mv_ref(A73,C73-1,100000000)</f>
        <v>90.072926420000002</v>
      </c>
    </row>
    <row r="74" spans="1:8" x14ac:dyDescent="0.2">
      <c r="A74" s="6" t="s">
        <v>42</v>
      </c>
      <c r="B74" s="9" t="s">
        <v>43</v>
      </c>
      <c r="C74" s="7">
        <v>46035</v>
      </c>
      <c r="D74" s="9"/>
      <c r="E74" s="9">
        <v>-15.017168485000001</v>
      </c>
      <c r="F74" s="9">
        <v>-17.4882717361</v>
      </c>
      <c r="G74" s="9">
        <v>-6.9953084737999998</v>
      </c>
      <c r="H74" s="5">
        <f>[1]!s_val_mv_ref(A74,C74-1,100000000)</f>
        <v>486.42198281999998</v>
      </c>
    </row>
    <row r="75" spans="1:8" x14ac:dyDescent="0.2">
      <c r="A75" s="6" t="s">
        <v>44</v>
      </c>
      <c r="B75" s="9" t="s">
        <v>45</v>
      </c>
      <c r="C75" s="7">
        <v>46035</v>
      </c>
      <c r="D75" s="9"/>
      <c r="E75" s="9">
        <v>4.3196515400000003E-2</v>
      </c>
      <c r="F75" s="9">
        <v>-0.56526277340000008</v>
      </c>
      <c r="G75" s="9">
        <v>-0.17364632370000002</v>
      </c>
      <c r="H75" s="5">
        <f>[1]!s_val_mv_ref(A75,C75-1,100000000)</f>
        <v>28.957391489999996</v>
      </c>
    </row>
    <row r="76" spans="1:8" x14ac:dyDescent="0.2">
      <c r="A76" s="6" t="s">
        <v>46</v>
      </c>
      <c r="B76" s="9" t="s">
        <v>47</v>
      </c>
      <c r="C76" s="7">
        <v>46035</v>
      </c>
      <c r="D76" s="9">
        <v>132.40559999999999</v>
      </c>
      <c r="E76" s="9">
        <v>95.2241314523</v>
      </c>
      <c r="F76" s="9">
        <v>33.063705018</v>
      </c>
      <c r="G76" s="9">
        <v>39.402865470400002</v>
      </c>
      <c r="H76" s="5">
        <f>[1]!s_val_mv_ref(A76,C76-1,100000000)</f>
        <v>2944.3715605500001</v>
      </c>
    </row>
    <row r="77" spans="1:8" x14ac:dyDescent="0.2">
      <c r="A77" s="6" t="s">
        <v>48</v>
      </c>
      <c r="B77" s="9" t="s">
        <v>49</v>
      </c>
      <c r="C77" s="7">
        <v>46035</v>
      </c>
      <c r="D77" s="9"/>
      <c r="E77" s="9">
        <v>-0.47348371080000001</v>
      </c>
      <c r="F77" s="9">
        <v>0.22414650929999999</v>
      </c>
      <c r="G77" s="9">
        <v>-0.1748989111</v>
      </c>
      <c r="H77" s="5">
        <f>[1]!s_val_mv_ref(A77,C77-1,100000000)</f>
        <v>26.303949289999998</v>
      </c>
    </row>
    <row r="78" spans="1:8" x14ac:dyDescent="0.2">
      <c r="A78" s="6" t="s">
        <v>50</v>
      </c>
      <c r="B78" s="9" t="s">
        <v>51</v>
      </c>
      <c r="C78" s="7">
        <v>46035</v>
      </c>
      <c r="D78" s="9"/>
      <c r="E78" s="9">
        <v>-0.6107955477</v>
      </c>
      <c r="F78" s="9">
        <v>3.1829649100000003E-2</v>
      </c>
      <c r="G78" s="9">
        <v>-0.20494002110000001</v>
      </c>
      <c r="H78" s="5">
        <f>[1]!s_val_mv_ref(A78,C78-1,100000000)</f>
        <v>31.15537995</v>
      </c>
    </row>
    <row r="79" spans="1:8" x14ac:dyDescent="0.2">
      <c r="A79" s="6" t="s">
        <v>52</v>
      </c>
      <c r="B79" s="9" t="s">
        <v>53</v>
      </c>
      <c r="C79" s="7">
        <v>46035</v>
      </c>
      <c r="D79" s="9"/>
      <c r="E79" s="9">
        <v>-0.40921201429999998</v>
      </c>
      <c r="F79" s="9">
        <v>0.11515068490000001</v>
      </c>
      <c r="G79" s="9">
        <v>-0.10387218320000001</v>
      </c>
      <c r="H79" s="5">
        <f>[1]!s_val_mv_ref(A79,C79-1,100000000)</f>
        <v>28.455503570000001</v>
      </c>
    </row>
    <row r="80" spans="1:8" x14ac:dyDescent="0.2">
      <c r="A80" s="6" t="s">
        <v>54</v>
      </c>
      <c r="B80" s="9" t="s">
        <v>55</v>
      </c>
      <c r="C80" s="7">
        <v>46035</v>
      </c>
      <c r="D80" s="9">
        <v>0.93</v>
      </c>
      <c r="E80" s="9">
        <v>0.77231187300000004</v>
      </c>
      <c r="F80" s="9">
        <v>4.0620371299999999E-2</v>
      </c>
      <c r="G80" s="9">
        <v>0.32480035019999998</v>
      </c>
      <c r="H80" s="5">
        <f>[1]!s_val_mv_ref(A80,C80-1,100000000)</f>
        <v>157.46750700000001</v>
      </c>
    </row>
    <row r="81" spans="1:8" x14ac:dyDescent="0.2">
      <c r="A81" s="6" t="s">
        <v>56</v>
      </c>
      <c r="B81" s="9" t="s">
        <v>57</v>
      </c>
      <c r="C81" s="7">
        <v>46035</v>
      </c>
      <c r="D81" s="9">
        <v>-2.2000000000000002</v>
      </c>
      <c r="E81" s="9">
        <v>-2.2080463733000002</v>
      </c>
      <c r="F81" s="9">
        <v>1.5535707771</v>
      </c>
      <c r="G81" s="9">
        <v>-1.4149936910000001</v>
      </c>
      <c r="H81" s="5">
        <f>[1]!s_val_mv_ref(A81,C81-1,100000000)</f>
        <v>262.59013768000005</v>
      </c>
    </row>
    <row r="82" spans="1:8" x14ac:dyDescent="0.2">
      <c r="A82" s="6" t="s">
        <v>58</v>
      </c>
      <c r="B82" s="9" t="s">
        <v>59</v>
      </c>
      <c r="C82" s="7">
        <v>46035</v>
      </c>
      <c r="D82" s="9">
        <v>-8.5</v>
      </c>
      <c r="E82" s="9">
        <v>-6.3066090463000002</v>
      </c>
      <c r="F82" s="9">
        <v>-2.9935705172000002</v>
      </c>
      <c r="G82" s="9">
        <v>-2.1142958758000003</v>
      </c>
      <c r="H82" s="5">
        <f>[1]!s_val_mv_ref(A82,C82-1,100000000)</f>
        <v>308.71917624000002</v>
      </c>
    </row>
    <row r="83" spans="1:8" x14ac:dyDescent="0.2">
      <c r="A83" s="6" t="s">
        <v>60</v>
      </c>
      <c r="B83" s="9" t="s">
        <v>61</v>
      </c>
      <c r="C83" s="7">
        <v>46034</v>
      </c>
      <c r="D83" s="9">
        <v>-135.41428200000001</v>
      </c>
      <c r="E83" s="9">
        <v>-12.267453012600001</v>
      </c>
      <c r="F83" s="9">
        <v>-1.5149862852000002</v>
      </c>
      <c r="G83" s="9">
        <v>-6.0689659440999995</v>
      </c>
      <c r="H83" s="5">
        <f>[1]!s_val_mv_ref(A83,C83-1,100000000)</f>
        <v>473.97036990999999</v>
      </c>
    </row>
    <row r="84" spans="1:8" x14ac:dyDescent="0.2">
      <c r="A84" s="6" t="s">
        <v>62</v>
      </c>
      <c r="B84" s="9" t="s">
        <v>63</v>
      </c>
      <c r="C84" s="7">
        <v>46034</v>
      </c>
      <c r="D84" s="9">
        <v>8.2607999999999997</v>
      </c>
      <c r="E84" s="9">
        <v>6.2494208626000001</v>
      </c>
      <c r="F84" s="9">
        <v>2.4487403136000001</v>
      </c>
      <c r="G84" s="9">
        <v>2.7401065338000001</v>
      </c>
      <c r="H84" s="5">
        <f>[1]!s_val_mv_ref(A84,C84-1,100000000)</f>
        <v>143.41242933000001</v>
      </c>
    </row>
    <row r="85" spans="1:8" x14ac:dyDescent="0.2">
      <c r="A85" s="6" t="s">
        <v>64</v>
      </c>
      <c r="B85" s="9" t="s">
        <v>65</v>
      </c>
      <c r="C85" s="7">
        <v>46034</v>
      </c>
      <c r="D85" s="9"/>
      <c r="E85" s="9">
        <v>-1.0854353308</v>
      </c>
      <c r="F85" s="9">
        <v>-1.5541162007</v>
      </c>
      <c r="G85" s="9">
        <v>-0.31019034239999999</v>
      </c>
      <c r="H85" s="5">
        <f>[1]!s_val_mv_ref(A85,C85-1,100000000)</f>
        <v>64.266749700000005</v>
      </c>
    </row>
    <row r="86" spans="1:8" x14ac:dyDescent="0.2">
      <c r="A86" s="6" t="s">
        <v>66</v>
      </c>
      <c r="B86" s="9" t="s">
        <v>67</v>
      </c>
      <c r="C86" s="7">
        <v>46034</v>
      </c>
      <c r="D86" s="9"/>
      <c r="E86" s="9">
        <v>-3.6862043037000003</v>
      </c>
      <c r="F86" s="9">
        <v>-3.0550809564999999</v>
      </c>
      <c r="G86" s="9">
        <v>-1.4393739703000001</v>
      </c>
      <c r="H86" s="5">
        <f>[1]!s_val_mv_ref(A86,C86-1,100000000)</f>
        <v>53.703108909999997</v>
      </c>
    </row>
    <row r="87" spans="1:8" x14ac:dyDescent="0.2">
      <c r="A87" s="6" t="s">
        <v>68</v>
      </c>
      <c r="B87" s="9" t="s">
        <v>69</v>
      </c>
      <c r="C87" s="7">
        <v>46034</v>
      </c>
      <c r="D87" s="9"/>
      <c r="E87" s="9">
        <v>5.9910637800000006E-2</v>
      </c>
      <c r="F87" s="9">
        <v>-3.1943401601999999</v>
      </c>
      <c r="G87" s="9">
        <v>-0.1883913639</v>
      </c>
      <c r="H87" s="5">
        <f>[1]!s_val_mv_ref(A87,C87-1,100000000)</f>
        <v>88.201317040000006</v>
      </c>
    </row>
    <row r="88" spans="1:8" x14ac:dyDescent="0.2">
      <c r="A88" s="6" t="s">
        <v>70</v>
      </c>
      <c r="B88" s="9" t="s">
        <v>71</v>
      </c>
      <c r="C88" s="7">
        <v>46034</v>
      </c>
      <c r="D88" s="9"/>
      <c r="E88" s="9">
        <v>-1.7548506133000001</v>
      </c>
      <c r="F88" s="9">
        <v>-0.33468583950000003</v>
      </c>
      <c r="G88" s="9">
        <v>-0.13269155699999999</v>
      </c>
      <c r="H88" s="5">
        <f>[1]!s_val_mv_ref(A88,C88-1,100000000)</f>
        <v>95.094999999999999</v>
      </c>
    </row>
    <row r="89" spans="1:8" x14ac:dyDescent="0.2">
      <c r="A89" s="6" t="s">
        <v>72</v>
      </c>
      <c r="B89" s="9" t="s">
        <v>73</v>
      </c>
      <c r="C89" s="7">
        <v>46034</v>
      </c>
      <c r="D89" s="9">
        <v>-3.5</v>
      </c>
      <c r="E89" s="9">
        <v>-0.95020302950000002</v>
      </c>
      <c r="F89" s="9">
        <v>-2.3426284346999999</v>
      </c>
      <c r="G89" s="9">
        <v>-0.48819599240000006</v>
      </c>
      <c r="H89" s="5">
        <f>[1]!s_val_mv_ref(A89,C89-1,100000000)</f>
        <v>94.849164189999996</v>
      </c>
    </row>
    <row r="90" spans="1:8" x14ac:dyDescent="0.2">
      <c r="A90" s="6" t="s">
        <v>74</v>
      </c>
      <c r="B90" s="9" t="s">
        <v>75</v>
      </c>
      <c r="C90" s="7">
        <v>46034</v>
      </c>
      <c r="D90" s="9"/>
      <c r="E90" s="9">
        <v>0.20970390370000003</v>
      </c>
      <c r="F90" s="9">
        <v>-0.2436007016</v>
      </c>
      <c r="G90" s="9">
        <v>-8.4712282E-3</v>
      </c>
      <c r="H90" s="5">
        <f>[1]!s_val_mv_ref(A90,C90-1,100000000)</f>
        <v>63.61553018</v>
      </c>
    </row>
    <row r="91" spans="1:8" x14ac:dyDescent="0.2">
      <c r="A91" s="6" t="s">
        <v>76</v>
      </c>
      <c r="B91" s="9" t="s">
        <v>77</v>
      </c>
      <c r="C91" s="7">
        <v>46034</v>
      </c>
      <c r="D91" s="9"/>
      <c r="E91" s="9">
        <v>0.89690946390000004</v>
      </c>
      <c r="F91" s="9">
        <v>-1.9185350596000001</v>
      </c>
      <c r="G91" s="9">
        <v>0.42710886280000004</v>
      </c>
      <c r="H91" s="5">
        <f>[1]!s_val_mv_ref(A91,C91-1,100000000)</f>
        <v>205.77463101000001</v>
      </c>
    </row>
    <row r="92" spans="1:8" x14ac:dyDescent="0.2">
      <c r="A92" s="6" t="s">
        <v>78</v>
      </c>
      <c r="B92" s="9" t="s">
        <v>79</v>
      </c>
      <c r="C92" s="7">
        <v>46034</v>
      </c>
      <c r="D92" s="9"/>
      <c r="E92" s="9">
        <v>-1.7920545297000001</v>
      </c>
      <c r="F92" s="9">
        <v>-1.7605838343000002</v>
      </c>
      <c r="G92" s="9">
        <v>-0.20354839660000001</v>
      </c>
      <c r="H92" s="5">
        <f>[1]!s_val_mv_ref(A92,C92-1,100000000)</f>
        <v>114.30521614000001</v>
      </c>
    </row>
    <row r="93" spans="1:8" x14ac:dyDescent="0.2">
      <c r="A93" s="6" t="s">
        <v>80</v>
      </c>
      <c r="B93" s="9" t="s">
        <v>81</v>
      </c>
      <c r="C93" s="7">
        <v>46034</v>
      </c>
      <c r="D93" s="9">
        <v>1.4536</v>
      </c>
      <c r="E93" s="9">
        <v>1.4942536640000001</v>
      </c>
      <c r="F93" s="9">
        <v>1.0662778143</v>
      </c>
      <c r="G93" s="9">
        <v>0.50684752779999998</v>
      </c>
      <c r="H93" s="5">
        <f>[1]!s_val_mv_ref(A93,C93-1,100000000)</f>
        <v>90.666131190000002</v>
      </c>
    </row>
    <row r="94" spans="1:8" x14ac:dyDescent="0.2">
      <c r="A94" s="6" t="s">
        <v>82</v>
      </c>
      <c r="B94" s="9" t="s">
        <v>83</v>
      </c>
      <c r="C94" s="7">
        <v>46032</v>
      </c>
      <c r="D94" s="9"/>
      <c r="E94" s="9">
        <v>-0.5007065798</v>
      </c>
      <c r="F94" s="9">
        <v>-2.2966031484</v>
      </c>
      <c r="G94" s="9">
        <v>-2.3807553799999999E-2</v>
      </c>
      <c r="H94" s="5">
        <f>[1]!s_val_mv_ref(A94,C94-1,100000000)</f>
        <v>96.679598400000003</v>
      </c>
    </row>
    <row r="95" spans="1:8" x14ac:dyDescent="0.2">
      <c r="A95" s="6" t="s">
        <v>84</v>
      </c>
      <c r="B95" s="9" t="s">
        <v>85</v>
      </c>
      <c r="C95" s="7">
        <v>46032</v>
      </c>
      <c r="D95" s="9"/>
      <c r="E95" s="9">
        <v>-1.2143879336000001</v>
      </c>
      <c r="F95" s="9">
        <v>-3.6643769775999999</v>
      </c>
      <c r="G95" s="9">
        <v>-0.50963165170000002</v>
      </c>
      <c r="H95" s="5">
        <f>[1]!s_val_mv_ref(A95,C95-1,100000000)</f>
        <v>243.48512690999999</v>
      </c>
    </row>
    <row r="96" spans="1:8" x14ac:dyDescent="0.2">
      <c r="A96" s="6" t="s">
        <v>86</v>
      </c>
      <c r="B96" s="9" t="s">
        <v>87</v>
      </c>
      <c r="C96" s="7">
        <v>46032</v>
      </c>
      <c r="D96" s="9"/>
      <c r="E96" s="9">
        <v>-7.9620472104999997</v>
      </c>
      <c r="F96" s="9">
        <v>-3.9218521592000002</v>
      </c>
      <c r="G96" s="9">
        <v>-2.7021871933999999</v>
      </c>
      <c r="H96" s="5">
        <f>[1]!s_val_mv_ref(A96,C96-1,100000000)</f>
        <v>26.42623</v>
      </c>
    </row>
    <row r="97" spans="1:8" x14ac:dyDescent="0.2">
      <c r="A97" s="6" t="s">
        <v>88</v>
      </c>
      <c r="B97" s="9" t="s">
        <v>89</v>
      </c>
      <c r="C97" s="7">
        <v>46032</v>
      </c>
      <c r="D97" s="9"/>
      <c r="E97" s="9">
        <v>-31.7604248098</v>
      </c>
      <c r="F97" s="9">
        <v>-37.055448241299999</v>
      </c>
      <c r="G97" s="9">
        <v>-13.0050461887</v>
      </c>
      <c r="H97" s="5">
        <f>[1]!s_val_mv_ref(A97,C97-1,100000000)</f>
        <v>161.9966972</v>
      </c>
    </row>
    <row r="98" spans="1:8" x14ac:dyDescent="0.2">
      <c r="A98" s="6" t="s">
        <v>90</v>
      </c>
      <c r="B98" s="9" t="s">
        <v>91</v>
      </c>
      <c r="C98" s="7">
        <v>46032</v>
      </c>
      <c r="D98" s="9"/>
      <c r="E98" s="9">
        <v>-4.9538543087000004</v>
      </c>
      <c r="F98" s="9">
        <v>-4.1926739975</v>
      </c>
      <c r="G98" s="9">
        <v>-3.3065276335000005</v>
      </c>
      <c r="H98" s="5">
        <f>[1]!s_val_mv_ref(A98,C98-1,100000000)</f>
        <v>47.422496610000003</v>
      </c>
    </row>
    <row r="99" spans="1:8" x14ac:dyDescent="0.2">
      <c r="A99" s="6" t="s">
        <v>92</v>
      </c>
      <c r="B99" s="9" t="s">
        <v>93</v>
      </c>
      <c r="C99" s="7">
        <v>46032</v>
      </c>
      <c r="D99" s="9">
        <v>-2.1</v>
      </c>
      <c r="E99" s="9">
        <v>-1.2335901554000002</v>
      </c>
      <c r="F99" s="9">
        <v>-2.3431823325000001</v>
      </c>
      <c r="G99" s="9">
        <v>-0.33825177220000002</v>
      </c>
      <c r="H99" s="5">
        <f>[1]!s_val_mv_ref(A99,C99-1,100000000)</f>
        <v>156.54087478</v>
      </c>
    </row>
    <row r="100" spans="1:8" x14ac:dyDescent="0.2">
      <c r="A100" s="6" t="s">
        <v>94</v>
      </c>
      <c r="B100" s="9" t="s">
        <v>95</v>
      </c>
      <c r="C100" s="7">
        <v>46032</v>
      </c>
      <c r="D100" s="9">
        <v>-189.5</v>
      </c>
      <c r="E100" s="9">
        <v>-60.382109775300002</v>
      </c>
      <c r="F100" s="9">
        <v>-140.92477561909999</v>
      </c>
      <c r="G100" s="9">
        <v>-29.419967012199997</v>
      </c>
      <c r="H100" s="5">
        <f>[1]!s_val_mv_ref(A100,C100-1,100000000)</f>
        <v>240.32713317</v>
      </c>
    </row>
    <row r="101" spans="1:8" x14ac:dyDescent="0.2">
      <c r="A101" s="6" t="s">
        <v>96</v>
      </c>
      <c r="B101" s="9" t="s">
        <v>97</v>
      </c>
      <c r="C101" s="7">
        <v>46032</v>
      </c>
      <c r="D101" s="9">
        <v>8.5</v>
      </c>
      <c r="E101" s="9">
        <v>6.0511136683000002</v>
      </c>
      <c r="F101" s="9">
        <v>1.7585521967</v>
      </c>
      <c r="G101" s="9">
        <v>1.1411188528</v>
      </c>
      <c r="H101" s="5">
        <f>[1]!s_val_mv_ref(A101,C101-1,100000000)</f>
        <v>442.28614568</v>
      </c>
    </row>
    <row r="102" spans="1:8" x14ac:dyDescent="0.2">
      <c r="A102" s="6" t="s">
        <v>98</v>
      </c>
      <c r="B102" s="9" t="s">
        <v>99</v>
      </c>
      <c r="C102" s="7">
        <v>46032</v>
      </c>
      <c r="D102" s="9"/>
      <c r="E102" s="9">
        <v>-1.1496890695999999</v>
      </c>
      <c r="F102" s="9">
        <v>-0.28589880810000001</v>
      </c>
      <c r="G102" s="9">
        <v>-0.72297297030000007</v>
      </c>
      <c r="H102" s="5">
        <f>[1]!s_val_mv_ref(A102,C102-1,100000000)</f>
        <v>25.166095120000001</v>
      </c>
    </row>
    <row r="103" spans="1:8" x14ac:dyDescent="0.2">
      <c r="A103" s="6" t="s">
        <v>100</v>
      </c>
      <c r="B103" s="9" t="s">
        <v>101</v>
      </c>
      <c r="C103" s="7">
        <v>46032</v>
      </c>
      <c r="D103" s="9"/>
      <c r="E103" s="9">
        <v>-0.63164593260000002</v>
      </c>
      <c r="F103" s="9">
        <v>-4.5682685399999999E-2</v>
      </c>
      <c r="G103" s="9">
        <v>-0.26250467970000002</v>
      </c>
      <c r="H103" s="5">
        <f>[1]!s_val_mv_ref(A103,C103-1,100000000)</f>
        <v>281.86397200000005</v>
      </c>
    </row>
    <row r="104" spans="1:8" x14ac:dyDescent="0.2">
      <c r="A104" s="6" t="s">
        <v>102</v>
      </c>
      <c r="B104" s="9" t="s">
        <v>103</v>
      </c>
      <c r="C104" s="7">
        <v>46032</v>
      </c>
      <c r="D104" s="9"/>
      <c r="E104" s="9">
        <v>-1.5171085644</v>
      </c>
      <c r="F104" s="9">
        <v>-1.0288468767000001</v>
      </c>
      <c r="G104" s="9">
        <v>-0.5251689316</v>
      </c>
      <c r="H104" s="5">
        <f>[1]!s_val_mv_ref(A104,C104-1,100000000)</f>
        <v>139.86477156000001</v>
      </c>
    </row>
    <row r="105" spans="1:8" x14ac:dyDescent="0.2">
      <c r="A105" s="6" t="s">
        <v>104</v>
      </c>
      <c r="B105" s="9" t="s">
        <v>105</v>
      </c>
      <c r="C105" s="7">
        <v>46032</v>
      </c>
      <c r="D105" s="9">
        <v>8.7000000000000011</v>
      </c>
      <c r="E105" s="9">
        <v>7.1778975305999992</v>
      </c>
      <c r="F105" s="9">
        <v>0.97175115200000006</v>
      </c>
      <c r="G105" s="9">
        <v>2.4312943703999998</v>
      </c>
      <c r="H105" s="5">
        <f>[1]!s_val_mv_ref(A105,C105-1,100000000)</f>
        <v>250.64860693</v>
      </c>
    </row>
    <row r="106" spans="1:8" x14ac:dyDescent="0.2">
      <c r="A106" s="6" t="s">
        <v>106</v>
      </c>
      <c r="B106" s="9" t="s">
        <v>107</v>
      </c>
      <c r="C106" s="7">
        <v>46032</v>
      </c>
      <c r="D106" s="9">
        <v>0.55000000000000004</v>
      </c>
      <c r="E106" s="9">
        <v>0.7205207481</v>
      </c>
      <c r="F106" s="9">
        <v>6.4222512100000004E-2</v>
      </c>
      <c r="G106" s="9">
        <v>3.6104561100000002E-2</v>
      </c>
      <c r="H106" s="5">
        <f>[1]!s_val_mv_ref(A106,C106-1,100000000)</f>
        <v>84.9709249</v>
      </c>
    </row>
    <row r="107" spans="1:8" x14ac:dyDescent="0.2">
      <c r="A107" s="6" t="s">
        <v>108</v>
      </c>
      <c r="B107" s="9" t="s">
        <v>109</v>
      </c>
      <c r="C107" s="7">
        <v>46032</v>
      </c>
      <c r="D107" s="9">
        <v>-11.3</v>
      </c>
      <c r="E107" s="9">
        <v>-7.5233135402000002</v>
      </c>
      <c r="F107" s="9">
        <v>-3.2789823395999997</v>
      </c>
      <c r="G107" s="9">
        <v>-4.5540458942999997</v>
      </c>
      <c r="H107" s="5">
        <f>[1]!s_val_mv_ref(A107,C107-1,100000000)</f>
        <v>239.86667866000005</v>
      </c>
    </row>
    <row r="108" spans="1:8" x14ac:dyDescent="0.2">
      <c r="A108" s="6" t="s">
        <v>110</v>
      </c>
      <c r="B108" s="9" t="s">
        <v>111</v>
      </c>
      <c r="C108" s="7">
        <v>46032</v>
      </c>
      <c r="D108" s="9">
        <v>-5.14</v>
      </c>
      <c r="E108" s="9">
        <v>-3.4000340000000002</v>
      </c>
      <c r="F108" s="9">
        <v>-1.9796800000000001</v>
      </c>
      <c r="G108" s="9">
        <v>-1.1720233071999999</v>
      </c>
      <c r="H108" s="5">
        <f>[1]!s_val_mv_ref(A108,C108-1,100000000)</f>
        <v>75.140928279999997</v>
      </c>
    </row>
    <row r="109" spans="1:8" x14ac:dyDescent="0.2">
      <c r="A109" s="6" t="s">
        <v>112</v>
      </c>
      <c r="B109" s="9" t="s">
        <v>113</v>
      </c>
      <c r="C109" s="7">
        <v>46032</v>
      </c>
      <c r="D109" s="9">
        <v>3.2762929999999999</v>
      </c>
      <c r="E109" s="9">
        <v>3.3829917199000001</v>
      </c>
      <c r="F109" s="9">
        <v>3.8240251806000001</v>
      </c>
      <c r="G109" s="9">
        <v>0.4956966458</v>
      </c>
      <c r="H109" s="5">
        <f>[1]!s_val_mv_ref(A109,C109-1,100000000)</f>
        <v>424.39406228000001</v>
      </c>
    </row>
    <row r="110" spans="1:8" x14ac:dyDescent="0.2">
      <c r="A110" s="6" t="s">
        <v>114</v>
      </c>
      <c r="B110" s="9" t="s">
        <v>115</v>
      </c>
      <c r="C110" s="7">
        <v>46031</v>
      </c>
      <c r="D110" s="9">
        <v>2.2000000000000002</v>
      </c>
      <c r="E110" s="9">
        <v>1.6788361721</v>
      </c>
      <c r="F110" s="9">
        <v>0.93887122189999994</v>
      </c>
      <c r="G110" s="9">
        <v>0.38250205299999995</v>
      </c>
      <c r="H110" s="5">
        <f>[1]!s_val_mv_ref(A110,C110-1,100000000)</f>
        <v>156.11031023000001</v>
      </c>
    </row>
    <row r="111" spans="1:8" x14ac:dyDescent="0.2">
      <c r="A111" s="6" t="s">
        <v>116</v>
      </c>
      <c r="B111" s="9" t="s">
        <v>117</v>
      </c>
      <c r="C111" s="7">
        <v>46031</v>
      </c>
      <c r="D111" s="9">
        <v>-0.15</v>
      </c>
      <c r="E111" s="9">
        <v>0.8264157755</v>
      </c>
      <c r="F111" s="9">
        <v>1.0993191841000001</v>
      </c>
      <c r="G111" s="9">
        <v>-0.70906368540000009</v>
      </c>
      <c r="H111" s="5">
        <f>[1]!s_val_mv_ref(A111,C111-1,100000000)</f>
        <v>94.412726149999997</v>
      </c>
    </row>
    <row r="112" spans="1:8" x14ac:dyDescent="0.2">
      <c r="A112" s="6" t="s">
        <v>118</v>
      </c>
      <c r="B112" s="9" t="s">
        <v>119</v>
      </c>
      <c r="C112" s="7">
        <v>46031</v>
      </c>
      <c r="D112" s="9">
        <v>5.98</v>
      </c>
      <c r="E112" s="9">
        <v>4.5257375401999997</v>
      </c>
      <c r="F112" s="9">
        <v>1.6221012875999998</v>
      </c>
      <c r="G112" s="9">
        <v>1.5351426276</v>
      </c>
      <c r="H112" s="5">
        <f>[1]!s_val_mv_ref(A112,C112-1,100000000)</f>
        <v>326.92225497999999</v>
      </c>
    </row>
    <row r="113" spans="1:8" x14ac:dyDescent="0.2">
      <c r="A113" s="6" t="s">
        <v>120</v>
      </c>
      <c r="B113" s="9" t="s">
        <v>121</v>
      </c>
      <c r="C113" s="7">
        <v>46031</v>
      </c>
      <c r="D113" s="9">
        <v>2.125</v>
      </c>
      <c r="E113" s="9">
        <v>1.6584702216</v>
      </c>
      <c r="F113" s="9">
        <v>0.16158707689999999</v>
      </c>
      <c r="G113" s="9">
        <v>0.66546036620000004</v>
      </c>
      <c r="H113" s="5">
        <f>[1]!s_val_mv_ref(A113,C113-1,100000000)</f>
        <v>45.443892300000002</v>
      </c>
    </row>
    <row r="114" spans="1:8" x14ac:dyDescent="0.2">
      <c r="A114" s="6" t="s">
        <v>122</v>
      </c>
      <c r="B114" s="9" t="s">
        <v>123</v>
      </c>
      <c r="C114" s="7">
        <v>46031</v>
      </c>
      <c r="D114" s="9">
        <v>-2.61</v>
      </c>
      <c r="E114" s="9">
        <v>-2.0207134222000001</v>
      </c>
      <c r="F114" s="9">
        <v>-1.3370149245</v>
      </c>
      <c r="G114" s="9">
        <v>-0.21334539100000002</v>
      </c>
      <c r="H114" s="5">
        <f>[1]!s_val_mv_ref(A114,C114-1,100000000)</f>
        <v>87.154232919999998</v>
      </c>
    </row>
    <row r="115" spans="1:8" x14ac:dyDescent="0.2">
      <c r="A115" s="6" t="s">
        <v>124</v>
      </c>
      <c r="B115" s="9" t="s">
        <v>125</v>
      </c>
      <c r="C115" s="7">
        <v>46031</v>
      </c>
      <c r="D115" s="9"/>
      <c r="E115" s="9">
        <v>-4.5031710163999996</v>
      </c>
      <c r="F115" s="9">
        <v>-3.496065202</v>
      </c>
      <c r="G115" s="9">
        <v>-1.3325226728000001</v>
      </c>
      <c r="H115" s="5">
        <f>[1]!s_val_mv_ref(A115,C115-1,100000000)</f>
        <v>61.359820450000001</v>
      </c>
    </row>
    <row r="116" spans="1:8" x14ac:dyDescent="0.2">
      <c r="A116" s="6" t="s">
        <v>126</v>
      </c>
      <c r="B116" s="9" t="s">
        <v>127</v>
      </c>
      <c r="C116" s="7">
        <v>46031</v>
      </c>
      <c r="D116" s="9">
        <v>-250</v>
      </c>
      <c r="E116" s="9">
        <v>-101.78123005729999</v>
      </c>
      <c r="F116" s="9">
        <v>-39.018044407700003</v>
      </c>
      <c r="G116" s="9">
        <v>-24.728152652399999</v>
      </c>
      <c r="H116" s="5">
        <f>[1]!s_val_mv_ref(A116,C116-1,100000000)</f>
        <v>89.624195830000005</v>
      </c>
    </row>
    <row r="117" spans="1:8" x14ac:dyDescent="0.2">
      <c r="A117" s="6" t="s">
        <v>128</v>
      </c>
      <c r="B117" s="9" t="s">
        <v>129</v>
      </c>
      <c r="C117" s="7">
        <v>46031</v>
      </c>
      <c r="D117" s="9">
        <v>50.050000000000004</v>
      </c>
      <c r="E117" s="9">
        <v>29.008964574699998</v>
      </c>
      <c r="F117" s="9">
        <v>17.268198286500002</v>
      </c>
      <c r="G117" s="9">
        <v>9.9471294464</v>
      </c>
      <c r="H117" s="5">
        <f>[1]!s_val_mv_ref(A117,C117-1,100000000)</f>
        <v>775.15569618999996</v>
      </c>
    </row>
    <row r="118" spans="1:8" x14ac:dyDescent="0.2">
      <c r="A118" s="6" t="s">
        <v>130</v>
      </c>
      <c r="B118" s="9" t="s">
        <v>131</v>
      </c>
      <c r="C118" s="7">
        <v>46031</v>
      </c>
      <c r="D118" s="9">
        <v>0.04</v>
      </c>
      <c r="E118" s="9">
        <v>0.10201412009999999</v>
      </c>
      <c r="F118" s="9">
        <v>-1.6013763544999999</v>
      </c>
      <c r="G118" s="9">
        <v>2.2444999E-2</v>
      </c>
      <c r="H118" s="5">
        <f>[1]!s_val_mv_ref(A118,C118-1,100000000)</f>
        <v>33.450760000000002</v>
      </c>
    </row>
    <row r="119" spans="1:8" x14ac:dyDescent="0.2">
      <c r="A119" s="6" t="s">
        <v>132</v>
      </c>
      <c r="B119" s="9" t="s">
        <v>133</v>
      </c>
      <c r="C119" s="7">
        <v>46031</v>
      </c>
      <c r="D119" s="9">
        <v>-0.5</v>
      </c>
      <c r="E119" s="9">
        <v>-0.3190060911</v>
      </c>
      <c r="F119" s="9">
        <v>9.3140353000000006E-3</v>
      </c>
      <c r="G119" s="9">
        <v>0.112642827</v>
      </c>
      <c r="H119" s="5">
        <f>[1]!s_val_mv_ref(A119,C119-1,100000000)</f>
        <v>167.35393132999999</v>
      </c>
    </row>
    <row r="120" spans="1:8" x14ac:dyDescent="0.2">
      <c r="A120" s="6" t="s">
        <v>134</v>
      </c>
      <c r="B120" s="9" t="s">
        <v>135</v>
      </c>
      <c r="C120" s="7">
        <v>46030</v>
      </c>
      <c r="D120" s="9">
        <v>2.1884999999999999</v>
      </c>
      <c r="E120" s="9">
        <v>1.6295144816999998</v>
      </c>
      <c r="F120" s="9">
        <v>-2.6703756600000003E-2</v>
      </c>
      <c r="G120" s="9">
        <v>0.55606825739999999</v>
      </c>
      <c r="H120" s="5">
        <f>[1]!s_val_mv_ref(A120,C120-1,100000000)</f>
        <v>64.850925700000005</v>
      </c>
    </row>
    <row r="121" spans="1:8" x14ac:dyDescent="0.2">
      <c r="A121" s="6" t="s">
        <v>136</v>
      </c>
      <c r="B121" s="9" t="s">
        <v>137</v>
      </c>
      <c r="C121" s="7">
        <v>46030</v>
      </c>
      <c r="D121" s="9">
        <v>48</v>
      </c>
      <c r="E121" s="9">
        <v>48.888385694500002</v>
      </c>
      <c r="F121" s="9">
        <v>31.128989439000001</v>
      </c>
      <c r="G121" s="9">
        <v>16.329531533200001</v>
      </c>
      <c r="H121" s="5">
        <f>[1]!s_val_mv_ref(A121,C121-1,100000000)</f>
        <v>1125.1791001700001</v>
      </c>
    </row>
    <row r="122" spans="1:8" x14ac:dyDescent="0.2">
      <c r="A122" s="6" t="s">
        <v>138</v>
      </c>
      <c r="B122" s="9" t="s">
        <v>139</v>
      </c>
      <c r="C122" s="7">
        <v>46030</v>
      </c>
      <c r="D122" s="9">
        <v>4.1500000000000004</v>
      </c>
      <c r="E122" s="9">
        <v>2.9069609617000003</v>
      </c>
      <c r="F122" s="9">
        <v>0.66009719840000003</v>
      </c>
      <c r="G122" s="9">
        <v>1.2415863143000001</v>
      </c>
      <c r="H122" s="5">
        <f>[1]!s_val_mv_ref(A122,C122-1,100000000)</f>
        <v>65.116116199999993</v>
      </c>
    </row>
    <row r="123" spans="1:8" x14ac:dyDescent="0.2">
      <c r="A123" s="6" t="s">
        <v>140</v>
      </c>
      <c r="B123" s="9" t="s">
        <v>141</v>
      </c>
      <c r="C123" s="7">
        <v>46030</v>
      </c>
      <c r="D123" s="9">
        <v>5.8</v>
      </c>
      <c r="E123" s="9">
        <v>4.3010653612</v>
      </c>
      <c r="F123" s="9">
        <v>0.81007694680000009</v>
      </c>
      <c r="G123" s="9">
        <v>1.9609405044000001</v>
      </c>
      <c r="H123" s="5">
        <f>[1]!s_val_mv_ref(A123,C123-1,100000000)</f>
        <v>502.2276523299999</v>
      </c>
    </row>
    <row r="124" spans="1:8" x14ac:dyDescent="0.2">
      <c r="A124" s="6" t="s">
        <v>142</v>
      </c>
      <c r="B124" s="9" t="s">
        <v>143</v>
      </c>
      <c r="C124" s="7">
        <v>46030</v>
      </c>
      <c r="D124" s="9">
        <v>1.41</v>
      </c>
      <c r="E124" s="9">
        <v>1.0281926707</v>
      </c>
      <c r="F124" s="9">
        <v>0.32181810589999998</v>
      </c>
      <c r="G124" s="9">
        <v>0.41926941990000005</v>
      </c>
      <c r="H124" s="5">
        <f>[1]!s_val_mv_ref(A124,C124-1,100000000)</f>
        <v>60.861374120000001</v>
      </c>
    </row>
    <row r="125" spans="1:8" x14ac:dyDescent="0.2">
      <c r="A125" s="6" t="s">
        <v>144</v>
      </c>
      <c r="B125" s="9" t="s">
        <v>145</v>
      </c>
      <c r="C125" s="7">
        <v>46030</v>
      </c>
      <c r="D125" s="9"/>
      <c r="E125" s="9">
        <v>-14.7993121032</v>
      </c>
      <c r="F125" s="9">
        <v>4.3272640714000001</v>
      </c>
      <c r="G125" s="9">
        <v>-8.8447336387999993</v>
      </c>
      <c r="H125" s="5">
        <f>[1]!s_val_mv_ref(A125,C125-1,100000000)</f>
        <v>175.65678253999999</v>
      </c>
    </row>
    <row r="126" spans="1:8" x14ac:dyDescent="0.2">
      <c r="A126" s="6" t="s">
        <v>146</v>
      </c>
      <c r="B126" s="9" t="s">
        <v>147</v>
      </c>
      <c r="C126" s="7">
        <v>46030</v>
      </c>
      <c r="D126" s="9">
        <v>-0.15760299999999999</v>
      </c>
      <c r="E126" s="9">
        <v>-2.6087643700000003E-2</v>
      </c>
      <c r="F126" s="9">
        <v>-0.59138082349999999</v>
      </c>
      <c r="G126" s="9">
        <v>-0.12571807730000001</v>
      </c>
      <c r="H126" s="5">
        <f>[1]!s_val_mv_ref(A126,C126-1,100000000)</f>
        <v>49.920807279999998</v>
      </c>
    </row>
    <row r="127" spans="1:8" x14ac:dyDescent="0.2">
      <c r="A127" s="6" t="s">
        <v>148</v>
      </c>
      <c r="B127" s="9" t="s">
        <v>149</v>
      </c>
      <c r="C127" s="7">
        <v>46030</v>
      </c>
      <c r="D127" s="9">
        <v>0.89</v>
      </c>
      <c r="E127" s="9">
        <v>1.1694501518</v>
      </c>
      <c r="F127" s="9">
        <v>1.2944125779000002</v>
      </c>
      <c r="G127" s="9">
        <v>5.4637102699999995E-2</v>
      </c>
      <c r="H127" s="5">
        <f>[1]!s_val_mv_ref(A127,C127-1,100000000)</f>
        <v>299.74930584999998</v>
      </c>
    </row>
    <row r="128" spans="1:8" x14ac:dyDescent="0.2">
      <c r="A128" s="6" t="s">
        <v>150</v>
      </c>
      <c r="B128" s="9" t="s">
        <v>151</v>
      </c>
      <c r="C128" s="7">
        <v>46030</v>
      </c>
      <c r="D128" s="9">
        <v>-22.959500000000002</v>
      </c>
      <c r="E128" s="9">
        <v>-12.9169328049</v>
      </c>
      <c r="F128" s="9">
        <v>-23.4477656434</v>
      </c>
      <c r="G128" s="9">
        <v>-4.5519355256000003</v>
      </c>
      <c r="H128" s="5">
        <f>[1]!s_val_mv_ref(A128,C128-1,100000000)</f>
        <v>145.33520551999999</v>
      </c>
    </row>
    <row r="129" spans="1:8" x14ac:dyDescent="0.2">
      <c r="A129" s="6" t="s">
        <v>152</v>
      </c>
      <c r="B129" s="9" t="s">
        <v>153</v>
      </c>
      <c r="C129" s="7">
        <v>46030</v>
      </c>
      <c r="D129" s="9">
        <v>-5.9750000000000005</v>
      </c>
      <c r="E129" s="9">
        <v>-2.1159789778999998</v>
      </c>
      <c r="F129" s="9">
        <v>-15.172442765</v>
      </c>
      <c r="G129" s="9">
        <v>-0.61255305469999999</v>
      </c>
      <c r="H129" s="5">
        <f>[1]!s_val_mv_ref(A129,C129-1,100000000)</f>
        <v>51.018117279999998</v>
      </c>
    </row>
    <row r="130" spans="1:8" x14ac:dyDescent="0.2">
      <c r="A130" s="6" t="s">
        <v>154</v>
      </c>
      <c r="B130" s="9" t="s">
        <v>155</v>
      </c>
      <c r="C130" s="7">
        <v>46030</v>
      </c>
      <c r="D130" s="9"/>
      <c r="E130" s="9">
        <v>-1.4684991761000001</v>
      </c>
      <c r="F130" s="9">
        <v>-3.8443310496</v>
      </c>
      <c r="G130" s="9">
        <v>-1.2200676587000001</v>
      </c>
      <c r="H130" s="5">
        <f>[1]!s_val_mv_ref(A130,C130-1,100000000)</f>
        <v>61.734136829999997</v>
      </c>
    </row>
    <row r="131" spans="1:8" x14ac:dyDescent="0.2">
      <c r="A131" s="6" t="s">
        <v>156</v>
      </c>
      <c r="B131" s="9" t="s">
        <v>157</v>
      </c>
      <c r="C131" s="7">
        <v>46030</v>
      </c>
      <c r="D131" s="9">
        <v>0.65</v>
      </c>
      <c r="E131" s="9">
        <v>1.8437184043000001</v>
      </c>
      <c r="F131" s="9">
        <v>0.50008116400000002</v>
      </c>
      <c r="G131" s="9">
        <v>0.6675130789</v>
      </c>
      <c r="H131" s="5">
        <f>[1]!s_val_mv_ref(A131,C131-1,100000000)</f>
        <v>41.416554210000001</v>
      </c>
    </row>
    <row r="132" spans="1:8" x14ac:dyDescent="0.2">
      <c r="A132" s="6" t="s">
        <v>158</v>
      </c>
      <c r="B132" s="9" t="s">
        <v>159</v>
      </c>
      <c r="C132" s="7">
        <v>46030</v>
      </c>
      <c r="D132" s="9"/>
      <c r="E132" s="9">
        <v>6.3404050000000003E-3</v>
      </c>
      <c r="F132" s="9">
        <v>-0.40800162219999997</v>
      </c>
      <c r="G132" s="9">
        <v>0.1488832642</v>
      </c>
      <c r="H132" s="5">
        <f>[1]!s_val_mv_ref(A132,C132-1,100000000)</f>
        <v>30.344588080000001</v>
      </c>
    </row>
    <row r="133" spans="1:8" x14ac:dyDescent="0.2">
      <c r="A133" s="6" t="s">
        <v>160</v>
      </c>
      <c r="B133" s="9" t="s">
        <v>161</v>
      </c>
      <c r="C133" s="7">
        <v>46030</v>
      </c>
      <c r="D133" s="9"/>
      <c r="E133" s="9">
        <v>-2.3268653691000001</v>
      </c>
      <c r="F133" s="9">
        <v>0.83867398609999999</v>
      </c>
      <c r="G133" s="9">
        <v>-0.61750263020000007</v>
      </c>
      <c r="H133" s="5">
        <f>[1]!s_val_mv_ref(A133,C133-1,100000000)</f>
        <v>108.71474603</v>
      </c>
    </row>
    <row r="134" spans="1:8" x14ac:dyDescent="0.2">
      <c r="A134" s="6" t="s">
        <v>162</v>
      </c>
      <c r="B134" s="9" t="s">
        <v>163</v>
      </c>
      <c r="C134" s="7">
        <v>46030</v>
      </c>
      <c r="D134" s="9">
        <v>7.5</v>
      </c>
      <c r="E134" s="9">
        <v>5.9958281873999999</v>
      </c>
      <c r="F134" s="9">
        <v>-1.4087150268000002</v>
      </c>
      <c r="G134" s="9">
        <v>1.4509332284000001</v>
      </c>
      <c r="H134" s="5">
        <f>[1]!s_val_mv_ref(A134,C134-1,100000000)</f>
        <v>126.12381304</v>
      </c>
    </row>
    <row r="135" spans="1:8" x14ac:dyDescent="0.2">
      <c r="A135" s="6" t="s">
        <v>164</v>
      </c>
      <c r="B135" s="9" t="s">
        <v>165</v>
      </c>
      <c r="C135" s="7">
        <v>46030</v>
      </c>
      <c r="D135" s="9">
        <v>6.4527000000000001</v>
      </c>
      <c r="E135" s="9">
        <v>7.2479632476999996</v>
      </c>
      <c r="F135" s="9">
        <v>3.4374162374999999</v>
      </c>
      <c r="G135" s="9">
        <v>0.2658987196</v>
      </c>
      <c r="H135" s="5">
        <f>[1]!s_val_mv_ref(A135,C135-1,100000000)</f>
        <v>181.34982391</v>
      </c>
    </row>
    <row r="136" spans="1:8" x14ac:dyDescent="0.2">
      <c r="A136" s="6" t="s">
        <v>166</v>
      </c>
      <c r="B136" s="9" t="s">
        <v>167</v>
      </c>
      <c r="C136" s="7">
        <v>46030</v>
      </c>
      <c r="D136" s="9">
        <v>1.4000000000000001</v>
      </c>
      <c r="E136" s="9">
        <v>1.3302631523999999</v>
      </c>
      <c r="F136" s="9">
        <v>-0.74586128549999997</v>
      </c>
      <c r="G136" s="9">
        <v>0.36768870740000004</v>
      </c>
      <c r="H136" s="5">
        <f>[1]!s_val_mv_ref(A136,C136-1,100000000)</f>
        <v>66.593587769999999</v>
      </c>
    </row>
    <row r="137" spans="1:8" x14ac:dyDescent="0.2">
      <c r="A137" s="6" t="s">
        <v>168</v>
      </c>
      <c r="B137" s="9" t="s">
        <v>169</v>
      </c>
      <c r="C137" s="7">
        <v>46030</v>
      </c>
      <c r="D137" s="9"/>
      <c r="E137" s="9">
        <v>-0.55412868039999996</v>
      </c>
      <c r="F137" s="9">
        <v>0.1643051452</v>
      </c>
      <c r="G137" s="9">
        <v>-0.30085369839999998</v>
      </c>
      <c r="H137" s="5">
        <f>[1]!s_val_mv_ref(A137,C137-1,100000000)</f>
        <v>47.302886569999998</v>
      </c>
    </row>
    <row r="138" spans="1:8" x14ac:dyDescent="0.2">
      <c r="A138" s="6" t="s">
        <v>170</v>
      </c>
      <c r="B138" s="9" t="s">
        <v>171</v>
      </c>
      <c r="C138" s="7">
        <v>46030</v>
      </c>
      <c r="D138" s="9">
        <v>2.2000000000000002</v>
      </c>
      <c r="E138" s="9">
        <v>1.8140772159</v>
      </c>
      <c r="F138" s="9">
        <v>0.6958649159000001</v>
      </c>
      <c r="G138" s="9">
        <v>0.70726232040000003</v>
      </c>
      <c r="H138" s="5">
        <f>[1]!s_val_mv_ref(A138,C138-1,100000000)</f>
        <v>161.25185321999999</v>
      </c>
    </row>
    <row r="139" spans="1:8" x14ac:dyDescent="0.2">
      <c r="A139" s="6" t="s">
        <v>172</v>
      </c>
      <c r="B139" s="9" t="s">
        <v>173</v>
      </c>
      <c r="C139" s="7">
        <v>46030</v>
      </c>
      <c r="D139" s="9">
        <v>3.935997</v>
      </c>
      <c r="E139" s="9">
        <v>3.4346107105999999</v>
      </c>
      <c r="F139" s="9">
        <v>0.85671009610000004</v>
      </c>
      <c r="G139" s="9">
        <v>0.5489559665</v>
      </c>
      <c r="H139" s="5">
        <f>[1]!s_val_mv_ref(A139,C139-1,100000000)</f>
        <v>164.86080894</v>
      </c>
    </row>
    <row r="140" spans="1:8" x14ac:dyDescent="0.2">
      <c r="A140" s="6" t="s">
        <v>174</v>
      </c>
      <c r="B140" s="9" t="s">
        <v>175</v>
      </c>
      <c r="C140" s="7">
        <v>46029</v>
      </c>
      <c r="D140" s="9">
        <v>4.6000000000000005</v>
      </c>
      <c r="E140" s="9">
        <v>3.8589860799000002</v>
      </c>
      <c r="F140" s="9">
        <v>0.83380051209999995</v>
      </c>
      <c r="G140" s="9">
        <v>1.1352573530000001</v>
      </c>
      <c r="H140" s="5">
        <f>[1]!s_val_mv_ref(A140,C140-1,100000000)</f>
        <v>108.61933184</v>
      </c>
    </row>
    <row r="141" spans="1:8" x14ac:dyDescent="0.2">
      <c r="A141" s="6" t="s">
        <v>176</v>
      </c>
      <c r="B141" s="9" t="s">
        <v>177</v>
      </c>
      <c r="C141" s="7">
        <v>46028</v>
      </c>
      <c r="D141" s="9">
        <v>10.5</v>
      </c>
      <c r="E141" s="9">
        <v>11.9726384748</v>
      </c>
      <c r="F141" s="9">
        <v>0.59719915020000003</v>
      </c>
      <c r="G141" s="9">
        <v>3.8910690244000001</v>
      </c>
      <c r="H141" s="5">
        <f>[1]!s_val_mv_ref(A141,C141-1,100000000)</f>
        <v>637.3513372000001</v>
      </c>
    </row>
    <row r="142" spans="1:8" x14ac:dyDescent="0.2">
      <c r="A142" s="6" t="s">
        <v>178</v>
      </c>
      <c r="B142" s="9" t="s">
        <v>179</v>
      </c>
      <c r="C142" s="7">
        <v>46028</v>
      </c>
      <c r="D142" s="9">
        <v>3.6446000000000001</v>
      </c>
      <c r="E142" s="9">
        <v>3.7484888573000004</v>
      </c>
      <c r="F142" s="9">
        <v>0.58232437380000002</v>
      </c>
      <c r="G142" s="9">
        <v>1.0958091394</v>
      </c>
      <c r="H142" s="5">
        <f>[1]!s_val_mv_ref(A142,C142-1,100000000)</f>
        <v>146.39784842999998</v>
      </c>
    </row>
    <row r="143" spans="1:8" x14ac:dyDescent="0.2">
      <c r="A143" s="6" t="s">
        <v>180</v>
      </c>
      <c r="B143" s="9" t="s">
        <v>181</v>
      </c>
      <c r="C143" s="7">
        <v>46028</v>
      </c>
      <c r="D143" s="9">
        <v>23.088055000000001</v>
      </c>
      <c r="E143" s="9">
        <v>20.3549088971</v>
      </c>
      <c r="F143" s="9">
        <v>3.7125192847000004</v>
      </c>
      <c r="G143" s="9">
        <v>7.8117757873000002</v>
      </c>
      <c r="H143" s="5">
        <f>[1]!s_val_mv_ref(A143,C143-1,100000000)</f>
        <v>408.86988170000001</v>
      </c>
    </row>
    <row r="144" spans="1:8" x14ac:dyDescent="0.2">
      <c r="A144" s="6" t="s">
        <v>182</v>
      </c>
      <c r="B144" s="9" t="s">
        <v>183</v>
      </c>
      <c r="C144" s="7">
        <v>46028</v>
      </c>
      <c r="D144" s="9">
        <v>0.66</v>
      </c>
      <c r="E144" s="9">
        <v>0.54723491639999999</v>
      </c>
      <c r="F144" s="9">
        <v>-0.27627262050000001</v>
      </c>
      <c r="G144" s="9">
        <v>0.20397502210000001</v>
      </c>
      <c r="H144" s="5">
        <f>[1]!s_val_mv_ref(A144,C144-1,100000000)</f>
        <v>30.018925060000004</v>
      </c>
    </row>
    <row r="145" spans="1:8" x14ac:dyDescent="0.2">
      <c r="A145" s="6" t="s">
        <v>184</v>
      </c>
      <c r="B145" s="9" t="s">
        <v>185</v>
      </c>
      <c r="C145" s="7">
        <v>46028</v>
      </c>
      <c r="D145" s="9">
        <v>0.75</v>
      </c>
      <c r="E145" s="9">
        <v>0.83398338959999996</v>
      </c>
      <c r="F145" s="9">
        <v>-3.8530539975</v>
      </c>
      <c r="G145" s="9">
        <v>0.26872338499999998</v>
      </c>
      <c r="H145" s="5">
        <f>[1]!s_val_mv_ref(A145,C145-1,100000000)</f>
        <v>63.286656559999997</v>
      </c>
    </row>
    <row r="146" spans="1:8" x14ac:dyDescent="0.2">
      <c r="A146" s="6" t="s">
        <v>186</v>
      </c>
      <c r="B146" s="9" t="s">
        <v>187</v>
      </c>
      <c r="C146" s="7">
        <v>46028</v>
      </c>
      <c r="D146" s="9">
        <v>0.20200000000000001</v>
      </c>
      <c r="E146" s="9">
        <v>0.26848420680000001</v>
      </c>
      <c r="F146" s="9">
        <v>-0.42799633810000004</v>
      </c>
      <c r="G146" s="9">
        <v>7.2321242199999997E-2</v>
      </c>
      <c r="H146" s="5">
        <f>[1]!s_val_mv_ref(A146,C146-1,100000000)</f>
        <v>70.012939119999999</v>
      </c>
    </row>
    <row r="147" spans="1:8" x14ac:dyDescent="0.2">
      <c r="A147" s="6" t="s">
        <v>188</v>
      </c>
      <c r="B147" s="9" t="s">
        <v>189</v>
      </c>
      <c r="C147" s="7">
        <v>46028</v>
      </c>
      <c r="D147" s="9">
        <v>4.03</v>
      </c>
      <c r="E147" s="9">
        <v>3.2290565442000001</v>
      </c>
      <c r="F147" s="9">
        <v>-2.8021734661000002</v>
      </c>
      <c r="G147" s="9">
        <v>1.9740180919000001</v>
      </c>
      <c r="H147" s="5">
        <f>[1]!s_val_mv_ref(A147,C147-1,100000000)</f>
        <v>91.375409700000006</v>
      </c>
    </row>
    <row r="148" spans="1:8" x14ac:dyDescent="0.2">
      <c r="A148" s="6" t="s">
        <v>190</v>
      </c>
      <c r="B148" s="9" t="s">
        <v>191</v>
      </c>
      <c r="C148" s="7">
        <v>46028</v>
      </c>
      <c r="D148" s="9">
        <v>7.8900000000000006</v>
      </c>
      <c r="E148" s="9">
        <v>6.0185237320000002</v>
      </c>
      <c r="F148" s="9">
        <v>1.2589695263</v>
      </c>
      <c r="G148" s="9">
        <v>2.6307215049999999</v>
      </c>
      <c r="H148" s="5">
        <f>[1]!s_val_mv_ref(A148,C148-1,100000000)</f>
        <v>280.9104069</v>
      </c>
    </row>
    <row r="149" spans="1:8" x14ac:dyDescent="0.2">
      <c r="A149" s="6" t="s">
        <v>192</v>
      </c>
      <c r="B149" s="9" t="s">
        <v>193</v>
      </c>
      <c r="C149" s="7">
        <v>46028</v>
      </c>
      <c r="D149" s="9">
        <v>4.55</v>
      </c>
      <c r="E149" s="9">
        <v>2.9897737799000002</v>
      </c>
      <c r="F149" s="9">
        <v>1.4341836926</v>
      </c>
      <c r="G149" s="9">
        <v>0.94131162469999996</v>
      </c>
      <c r="H149" s="5">
        <f>[1]!s_val_mv_ref(A149,C149-1,100000000)</f>
        <v>75.034378099999998</v>
      </c>
    </row>
    <row r="150" spans="1:8" x14ac:dyDescent="0.2">
      <c r="A150" s="6" t="s">
        <v>194</v>
      </c>
      <c r="B150" s="9" t="s">
        <v>195</v>
      </c>
      <c r="C150" s="7">
        <v>46028</v>
      </c>
      <c r="D150" s="9">
        <v>29.7</v>
      </c>
      <c r="E150" s="9">
        <v>20.259642569300002</v>
      </c>
      <c r="F150" s="9">
        <v>6.6203211767999992</v>
      </c>
      <c r="G150" s="9">
        <v>9.1405560967999993</v>
      </c>
      <c r="H150" s="5">
        <f>[1]!s_val_mv_ref(A150,C150-1,100000000)</f>
        <v>607.94153584000003</v>
      </c>
    </row>
    <row r="151" spans="1:8" x14ac:dyDescent="0.2">
      <c r="A151" s="6" t="s">
        <v>196</v>
      </c>
      <c r="B151" s="9" t="s">
        <v>197</v>
      </c>
      <c r="C151" s="7">
        <v>46028</v>
      </c>
      <c r="D151" s="9">
        <v>56</v>
      </c>
      <c r="E151" s="9">
        <v>40.123061958800001</v>
      </c>
      <c r="F151" s="9">
        <v>7.5366440146000002</v>
      </c>
      <c r="G151" s="9">
        <v>14.2511221445</v>
      </c>
      <c r="H151" s="5">
        <f>[1]!s_val_mv_ref(A151,C151-1,100000000)</f>
        <v>1289.7746979599999</v>
      </c>
    </row>
    <row r="152" spans="1:8" x14ac:dyDescent="0.2">
      <c r="A152" s="6" t="s">
        <v>198</v>
      </c>
      <c r="B152" s="9" t="s">
        <v>199</v>
      </c>
      <c r="C152" s="7">
        <v>46027</v>
      </c>
      <c r="D152" s="9">
        <v>0.9</v>
      </c>
      <c r="E152" s="9">
        <v>0.74983571019999995</v>
      </c>
      <c r="F152" s="9">
        <v>0.12980710470000001</v>
      </c>
      <c r="G152" s="9">
        <v>0.28222654829999999</v>
      </c>
      <c r="H152" s="5">
        <f>[1]!s_val_mv_ref(A152,C152-1,100000000)</f>
        <v>25.0824</v>
      </c>
    </row>
    <row r="153" spans="1:8" x14ac:dyDescent="0.2">
      <c r="A153" s="6" t="s">
        <v>200</v>
      </c>
      <c r="B153" s="9" t="s">
        <v>201</v>
      </c>
      <c r="C153" s="7">
        <v>46027</v>
      </c>
      <c r="D153" s="9">
        <v>7.5</v>
      </c>
      <c r="E153" s="9">
        <v>5.5960421963</v>
      </c>
      <c r="F153" s="9">
        <v>1.7263522634999999</v>
      </c>
      <c r="G153" s="9">
        <v>2.0009735792000001</v>
      </c>
      <c r="H153" s="5">
        <f>[1]!s_val_mv_ref(A153,C153-1,100000000)</f>
        <v>160.08329262999999</v>
      </c>
    </row>
    <row r="154" spans="1:8" x14ac:dyDescent="0.2">
      <c r="A154" s="6" t="s">
        <v>202</v>
      </c>
      <c r="B154" s="9" t="s">
        <v>203</v>
      </c>
      <c r="C154" s="7">
        <v>46027</v>
      </c>
      <c r="D154" s="9">
        <v>3.8000000000000003</v>
      </c>
      <c r="E154" s="9">
        <v>2.6263110520000001</v>
      </c>
      <c r="F154" s="9">
        <v>0.56006633640000003</v>
      </c>
      <c r="G154" s="9">
        <v>1.1480893187999999</v>
      </c>
      <c r="H154" s="5">
        <f>[1]!s_val_mv_ref(A154,C154-1,100000000)</f>
        <v>570.30999999999995</v>
      </c>
    </row>
    <row r="155" spans="1:8" x14ac:dyDescent="0.2">
      <c r="A155" s="6" t="s">
        <v>204</v>
      </c>
      <c r="B155" s="9" t="s">
        <v>205</v>
      </c>
      <c r="C155" s="7">
        <v>46027</v>
      </c>
      <c r="D155" s="9">
        <v>6.23</v>
      </c>
      <c r="E155" s="9">
        <v>4.4642569958999996</v>
      </c>
      <c r="F155" s="9">
        <v>1.3118102787999999</v>
      </c>
      <c r="G155" s="9">
        <v>1.8782832563999998</v>
      </c>
      <c r="H155" s="5">
        <f>[1]!s_val_mv_ref(A155,C155-1,100000000)</f>
        <v>243.71802004</v>
      </c>
    </row>
    <row r="156" spans="1:8" x14ac:dyDescent="0.2">
      <c r="A156" s="6" t="s">
        <v>206</v>
      </c>
      <c r="B156" s="9" t="s">
        <v>207</v>
      </c>
      <c r="C156" s="7">
        <v>46027</v>
      </c>
      <c r="D156" s="9">
        <v>5.5</v>
      </c>
      <c r="E156" s="9">
        <v>5.0882098779999998</v>
      </c>
      <c r="F156" s="9">
        <v>-0.35460704450000002</v>
      </c>
      <c r="G156" s="9">
        <v>1.4833076265</v>
      </c>
      <c r="H156" s="5">
        <f>[1]!s_val_mv_ref(A156,C156-1,100000000)</f>
        <v>86.825045099999997</v>
      </c>
    </row>
    <row r="157" spans="1:8" x14ac:dyDescent="0.2">
      <c r="A157" s="6" t="s">
        <v>208</v>
      </c>
      <c r="B157" s="9" t="s">
        <v>209</v>
      </c>
      <c r="C157" s="7">
        <v>46022</v>
      </c>
      <c r="D157" s="9">
        <v>82.3</v>
      </c>
      <c r="E157" s="9">
        <v>44.940283561899996</v>
      </c>
      <c r="F157" s="9">
        <v>13.300998621500002</v>
      </c>
      <c r="G157" s="9">
        <v>19.847807661000001</v>
      </c>
      <c r="H157" s="5">
        <f>[1]!s_val_mv_ref(A157,C157-1,100000000)</f>
        <v>1467.8822228700001</v>
      </c>
    </row>
    <row r="158" spans="1:8" x14ac:dyDescent="0.2">
      <c r="A158" s="6" t="s">
        <v>210</v>
      </c>
      <c r="B158" s="9" t="s">
        <v>211</v>
      </c>
      <c r="C158" s="7">
        <v>46022</v>
      </c>
      <c r="D158" s="9">
        <v>23</v>
      </c>
      <c r="E158" s="9">
        <v>22.932830815199999</v>
      </c>
      <c r="F158" s="9">
        <v>-1.8686215005000002</v>
      </c>
      <c r="G158" s="9">
        <v>7.7160380814999998</v>
      </c>
      <c r="H158" s="5">
        <f>[1]!s_val_mv_ref(A158,C158-1,100000000)</f>
        <v>386.88341994000001</v>
      </c>
    </row>
    <row r="159" spans="1:8" x14ac:dyDescent="0.2">
      <c r="A159" s="6" t="s">
        <v>212</v>
      </c>
      <c r="B159" s="9" t="s">
        <v>213</v>
      </c>
      <c r="C159" s="7">
        <v>46022</v>
      </c>
      <c r="D159" s="9">
        <v>9.17</v>
      </c>
      <c r="E159" s="9">
        <v>9.8797636114999996</v>
      </c>
      <c r="F159" s="9">
        <v>2.1720801168000001</v>
      </c>
      <c r="G159" s="9">
        <v>3.0558327458000001</v>
      </c>
      <c r="H159" s="5">
        <f>[1]!s_val_mv_ref(A159,C159-1,100000000)</f>
        <v>379.99340113</v>
      </c>
    </row>
    <row r="160" spans="1:8" x14ac:dyDescent="0.2">
      <c r="A160" s="6" t="s">
        <v>214</v>
      </c>
      <c r="B160" s="9" t="s">
        <v>215</v>
      </c>
      <c r="C160" s="7">
        <v>46022</v>
      </c>
      <c r="D160" s="9">
        <v>3.2</v>
      </c>
      <c r="E160" s="9">
        <v>3.7876061782999999</v>
      </c>
      <c r="F160" s="9">
        <v>-1.4534397116</v>
      </c>
      <c r="G160" s="9">
        <v>0.97385313439999999</v>
      </c>
      <c r="H160" s="5">
        <f>[1]!s_val_mv_ref(A160,C160-1,100000000)</f>
        <v>161.69580811999998</v>
      </c>
    </row>
    <row r="161" spans="1:8" x14ac:dyDescent="0.2">
      <c r="A161" s="6" t="s">
        <v>216</v>
      </c>
      <c r="B161" s="9" t="s">
        <v>217</v>
      </c>
      <c r="C161" s="7">
        <v>46022</v>
      </c>
      <c r="D161" s="9">
        <v>10.5</v>
      </c>
      <c r="E161" s="9">
        <v>3.7317369692000004</v>
      </c>
      <c r="F161" s="9">
        <v>0.94838521530000008</v>
      </c>
      <c r="G161" s="9">
        <v>1.3857031662999999</v>
      </c>
      <c r="H161" s="5">
        <f>[1]!s_val_mv_ref(A161,C161-1,100000000)</f>
        <v>922.57322385999998</v>
      </c>
    </row>
    <row r="162" spans="1:8" x14ac:dyDescent="0.2">
      <c r="A162" s="6" t="s">
        <v>218</v>
      </c>
      <c r="B162" s="9" t="s">
        <v>219</v>
      </c>
      <c r="C162" s="7">
        <v>46022</v>
      </c>
      <c r="D162" s="9">
        <v>1.3411</v>
      </c>
      <c r="E162" s="9">
        <v>0.84739937730000003</v>
      </c>
      <c r="F162" s="9">
        <v>3.5738025800000003E-2</v>
      </c>
      <c r="G162" s="9">
        <v>0.43175054639999999</v>
      </c>
      <c r="H162" s="5">
        <f>[1]!s_val_mv_ref(A162,C162-1,100000000)</f>
        <v>384.98394202999998</v>
      </c>
    </row>
    <row r="163" spans="1:8" x14ac:dyDescent="0.2">
      <c r="A163" s="6" t="s">
        <v>220</v>
      </c>
      <c r="B163" s="9" t="s">
        <v>221</v>
      </c>
      <c r="C163" s="7">
        <v>46022</v>
      </c>
      <c r="D163" s="9">
        <v>2.0499999999999998</v>
      </c>
      <c r="E163" s="9">
        <v>1.5592627783000002</v>
      </c>
      <c r="F163" s="9">
        <v>0.27170961399999999</v>
      </c>
      <c r="G163" s="9">
        <v>0.41091371770000001</v>
      </c>
      <c r="H163" s="5">
        <f>[1]!s_val_mv_ref(A163,C163-1,100000000)</f>
        <v>129.77774919000001</v>
      </c>
    </row>
    <row r="164" spans="1:8" x14ac:dyDescent="0.2">
      <c r="A164" s="6" t="s">
        <v>222</v>
      </c>
      <c r="B164" s="9" t="s">
        <v>223</v>
      </c>
      <c r="C164" s="7">
        <v>46022</v>
      </c>
      <c r="D164" s="9">
        <v>475</v>
      </c>
      <c r="E164" s="9">
        <v>341.26643303000003</v>
      </c>
      <c r="F164" s="9">
        <v>79.451030630000005</v>
      </c>
      <c r="G164" s="9">
        <v>125.02666197000001</v>
      </c>
      <c r="H164" s="5">
        <f>[1]!s_val_mv_ref(A164,C164-1,100000000)</f>
        <v>8886.2888153900003</v>
      </c>
    </row>
    <row r="165" spans="1:8" x14ac:dyDescent="0.2">
      <c r="A165" s="6" t="s">
        <v>224</v>
      </c>
      <c r="B165" s="9" t="s">
        <v>225</v>
      </c>
      <c r="C165" s="7">
        <v>46014</v>
      </c>
      <c r="D165" s="9">
        <v>36.791636000000004</v>
      </c>
      <c r="E165" s="9">
        <v>30.832513955900001</v>
      </c>
      <c r="F165" s="9">
        <v>8.6991100675999995</v>
      </c>
      <c r="G165" s="9">
        <v>10.7310625578</v>
      </c>
      <c r="H165" s="5">
        <f>[1]!s_val_mv_ref(A165,C165-1,100000000)</f>
        <v>1911.2799292800003</v>
      </c>
    </row>
    <row r="167" spans="1:8" x14ac:dyDescent="0.2">
      <c r="A167" s="8" t="s">
        <v>226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wave</dc:creator>
  <cp:lastModifiedBy>A</cp:lastModifiedBy>
  <dcterms:created xsi:type="dcterms:W3CDTF">2015-06-05T18:19:34Z</dcterms:created>
  <dcterms:modified xsi:type="dcterms:W3CDTF">2026-01-14T12:34:49Z</dcterms:modified>
</cp:coreProperties>
</file>